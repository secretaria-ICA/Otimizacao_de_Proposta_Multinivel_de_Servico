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phael.richter\Desktop\"/>
    </mc:Choice>
  </mc:AlternateContent>
  <xr:revisionPtr revIDLastSave="0" documentId="13_ncr:1_{3B996A47-27BA-4200-9934-D3183C3CB435}" xr6:coauthVersionLast="47" xr6:coauthVersionMax="47" xr10:uidLastSave="{00000000-0000-0000-0000-000000000000}"/>
  <bookViews>
    <workbookView xWindow="-118" yWindow="-118" windowWidth="25370" windowHeight="13759" xr2:uid="{4C11FD2E-6485-4588-9C2A-2C96FFFCB1BA}"/>
  </bookViews>
  <sheets>
    <sheet name="Modelo" sheetId="25" r:id="rId1"/>
    <sheet name="BASE" sheetId="28" r:id="rId2"/>
  </sheets>
  <definedNames>
    <definedName name="_xlpm.Coin" hidden="1" xlm="1">#NAME?</definedName>
    <definedName name="_xlpm.NEO" hidden="1" xlm="1">#NAME?</definedName>
    <definedName name="_xlpm.opcao1" hidden="1" xlm="1">#NAME?</definedName>
    <definedName name="_xlpm.opcao2" hidden="1" xlm="1">#NAME?</definedName>
    <definedName name="_xlpm.opcao3" hidden="1" xlm="1">#NAME?</definedName>
    <definedName name="_xlpm.opcao4" hidden="1" xlm="1">#NAME?</definedName>
    <definedName name="_xlpm.opcao5" hidden="1" xlm="1">#NAME?</definedName>
    <definedName name="_xlpm.SEMI" hidden="1" xlm="1">#NAME?</definedName>
    <definedName name="_xlpm.taxas" hidden="1" xlm="1">#NAME?</definedName>
    <definedName name="_xlpm.TOTAL" hidden="1" xlm="1">#NAME?</definedName>
    <definedName name="_xlpm.UI" hidden="1" xlm="1">#NAME?</definedName>
    <definedName name="_xlpm.UTI" hidden="1" xlm="1">#NAME?</definedName>
    <definedName name="_xlpm.VALOR" hidden="1" xlm="1">#NAME?</definedName>
    <definedName name="solver_adj" localSheetId="0" hidden="1">Modelo!$E$12:$E$20</definedName>
    <definedName name="solver_cvg" localSheetId="0" hidden="1">0.000001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Modelo!$E$12:$E$20</definedName>
    <definedName name="solver_lhs2" localSheetId="0" hidden="1">Modelo!$E$12:$E$20</definedName>
    <definedName name="solver_mip" localSheetId="0" hidden="1">2147483647</definedName>
    <definedName name="solver_mni" localSheetId="0" hidden="1">1440</definedName>
    <definedName name="solver_mrt" localSheetId="0" hidden="1">0.2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Modelo!$L$9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Modelo!$K$12:$K$20</definedName>
    <definedName name="solver_rhs2" localSheetId="0" hidden="1">Modelo!$J$12:$J$20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5" l="1"/>
  <c r="F8" i="25" s="1"/>
  <c r="K20" i="25" s="1"/>
  <c r="K19" i="25" s="1"/>
  <c r="K18" i="25" s="1"/>
  <c r="K17" i="25" s="1"/>
  <c r="K16" i="25" s="1"/>
  <c r="K15" i="25" s="1"/>
  <c r="K14" i="25" s="1"/>
  <c r="K13" i="25" s="1"/>
  <c r="K12" i="25" s="1"/>
  <c r="F7" i="25"/>
  <c r="E7" i="25"/>
  <c r="I14" i="25"/>
  <c r="I15" i="25" s="1"/>
  <c r="I16" i="25" s="1"/>
  <c r="H14" i="25"/>
  <c r="H15" i="25" s="1"/>
  <c r="H16" i="25" s="1"/>
  <c r="H17" i="25" s="1"/>
  <c r="H18" i="25" s="1"/>
  <c r="H19" i="25" s="1"/>
  <c r="H20" i="25" s="1"/>
  <c r="C19" i="25"/>
  <c r="C15" i="25"/>
  <c r="C20" i="25"/>
  <c r="C18" i="25"/>
  <c r="C17" i="25"/>
  <c r="C16" i="25"/>
  <c r="C14" i="25"/>
  <c r="C13" i="25"/>
  <c r="C12" i="25"/>
  <c r="C8" i="25"/>
  <c r="C7" i="25"/>
  <c r="I17" i="25" l="1"/>
  <c r="I18" i="25" s="1"/>
  <c r="I19" i="25" s="1"/>
  <c r="I20" i="25" s="1"/>
  <c r="F20" i="25" l="1"/>
  <c r="G20" i="25" s="1"/>
  <c r="F19" i="25"/>
  <c r="G19" i="25" s="1"/>
  <c r="F18" i="25"/>
  <c r="G18" i="25" s="1"/>
  <c r="F17" i="25"/>
  <c r="G17" i="25" s="1"/>
  <c r="F16" i="25"/>
  <c r="G16" i="25" s="1"/>
  <c r="F15" i="25"/>
  <c r="G15" i="25" s="1"/>
  <c r="F14" i="25"/>
  <c r="G14" i="25" s="1"/>
  <c r="F13" i="25"/>
  <c r="G13" i="25" s="1"/>
  <c r="L7" i="25" l="1"/>
  <c r="E22" i="25" l="1"/>
  <c r="E23" i="25" s="1"/>
  <c r="E8" i="25"/>
  <c r="J12" i="25" s="1"/>
  <c r="J13" i="25" l="1"/>
  <c r="J14" i="25" s="1"/>
  <c r="J15" i="25" s="1"/>
  <c r="J16" i="25" s="1"/>
  <c r="J17" i="25" s="1"/>
  <c r="J18" i="25" s="1"/>
  <c r="J19" i="25" s="1"/>
  <c r="J20" i="25" s="1"/>
  <c r="L6" i="25"/>
  <c r="L9" i="25" s="1"/>
</calcChain>
</file>

<file path=xl/sharedStrings.xml><?xml version="1.0" encoding="utf-8"?>
<sst xmlns="http://schemas.openxmlformats.org/spreadsheetml/2006/main" count="557" uniqueCount="292">
  <si>
    <t>Resultado</t>
  </si>
  <si>
    <t>Montante</t>
  </si>
  <si>
    <t>Valor Médio</t>
  </si>
  <si>
    <t>&gt;=</t>
  </si>
  <si>
    <t>&lt;=</t>
  </si>
  <si>
    <t>Proposta</t>
  </si>
  <si>
    <t>Lim Inf</t>
  </si>
  <si>
    <t>Lim Sup</t>
  </si>
  <si>
    <t>Limite inferior</t>
  </si>
  <si>
    <t>Limite superior</t>
  </si>
  <si>
    <t>Montante Proposto</t>
  </si>
  <si>
    <t>Médio Proposto</t>
  </si>
  <si>
    <t>Prestador</t>
  </si>
  <si>
    <t>Senha</t>
  </si>
  <si>
    <t>Valor</t>
  </si>
  <si>
    <t>Hospital Saúde</t>
  </si>
  <si>
    <t>Nivel</t>
  </si>
  <si>
    <t>Taxas</t>
  </si>
  <si>
    <t>550SRI4Y</t>
  </si>
  <si>
    <t>311JRA6T</t>
  </si>
  <si>
    <t>280NRB1V</t>
  </si>
  <si>
    <t>304MEA8J</t>
  </si>
  <si>
    <t>225SBG9O</t>
  </si>
  <si>
    <t>430XVT9D</t>
  </si>
  <si>
    <t>835CTC1E</t>
  </si>
  <si>
    <t>766RMK7A</t>
  </si>
  <si>
    <t>196LPM3M</t>
  </si>
  <si>
    <t>113EFQ6B</t>
  </si>
  <si>
    <t>092CTS0A</t>
  </si>
  <si>
    <t>439ZDW7F</t>
  </si>
  <si>
    <t>678XHP7Q</t>
  </si>
  <si>
    <t>930IZH8L</t>
  </si>
  <si>
    <t>806ZMW1Y</t>
  </si>
  <si>
    <t>999MVY3W</t>
  </si>
  <si>
    <t>188SQJ3H</t>
  </si>
  <si>
    <t>922OAA1J</t>
  </si>
  <si>
    <t>317BGF6B</t>
  </si>
  <si>
    <t>506QVI6K</t>
  </si>
  <si>
    <t>138YPV8L</t>
  </si>
  <si>
    <t>919ASA8P</t>
  </si>
  <si>
    <t>355ZEU0D</t>
  </si>
  <si>
    <t>135DXW0W</t>
  </si>
  <si>
    <t>074DYX7V</t>
  </si>
  <si>
    <t>161WST6P</t>
  </si>
  <si>
    <t>684IKJ0U</t>
  </si>
  <si>
    <t>578PGQ0O</t>
  </si>
  <si>
    <t>851QRJ1O</t>
  </si>
  <si>
    <t>314OHF3T</t>
  </si>
  <si>
    <t>521NRP1S</t>
  </si>
  <si>
    <t>871VBJ3N</t>
  </si>
  <si>
    <t>789MAV3Z</t>
  </si>
  <si>
    <t>655MDP1Z</t>
  </si>
  <si>
    <t>329UUP2S</t>
  </si>
  <si>
    <t>766OEA2L</t>
  </si>
  <si>
    <t>674DNJ8L</t>
  </si>
  <si>
    <t>669HXR0B</t>
  </si>
  <si>
    <t>612CTO8H</t>
  </si>
  <si>
    <t>475JCV3V</t>
  </si>
  <si>
    <t>599ZFF5Z</t>
  </si>
  <si>
    <t>928UXP1R</t>
  </si>
  <si>
    <t>388NPG6Y</t>
  </si>
  <si>
    <t>117TTI2U</t>
  </si>
  <si>
    <t>535QHG0N</t>
  </si>
  <si>
    <t>873FUE6Q</t>
  </si>
  <si>
    <t>005MBT7C</t>
  </si>
  <si>
    <t>125SFF7M</t>
  </si>
  <si>
    <t>403CTF3R</t>
  </si>
  <si>
    <t>507NQG3B</t>
  </si>
  <si>
    <t>405QPW8M</t>
  </si>
  <si>
    <t>609XJP4T</t>
  </si>
  <si>
    <t>180ALG8D</t>
  </si>
  <si>
    <t>351SUT9K</t>
  </si>
  <si>
    <t>416MTV2M</t>
  </si>
  <si>
    <t>037QOM1Q</t>
  </si>
  <si>
    <t>183GNM7X</t>
  </si>
  <si>
    <t>717IRS5J</t>
  </si>
  <si>
    <t>068POX1D</t>
  </si>
  <si>
    <t>287ERM3A</t>
  </si>
  <si>
    <t>620ARU2K</t>
  </si>
  <si>
    <t>654WBO5K</t>
  </si>
  <si>
    <t>753DUS4O</t>
  </si>
  <si>
    <t>480SRX2A</t>
  </si>
  <si>
    <t>674FAZ0W</t>
  </si>
  <si>
    <t>521QEN2D</t>
  </si>
  <si>
    <t>301FYA2J</t>
  </si>
  <si>
    <t>298PQF4X</t>
  </si>
  <si>
    <t>027JGU8U</t>
  </si>
  <si>
    <t>038DHZ4Y</t>
  </si>
  <si>
    <t>280QFB1H</t>
  </si>
  <si>
    <t>810CVJ2V</t>
  </si>
  <si>
    <t>874WTF9H</t>
  </si>
  <si>
    <t>549JZR3C</t>
  </si>
  <si>
    <t>132UDL3P</t>
  </si>
  <si>
    <t>256CYG7Q</t>
  </si>
  <si>
    <t>046LBZ1T</t>
  </si>
  <si>
    <t>391JVC9A</t>
  </si>
  <si>
    <t>234JTN9Q</t>
  </si>
  <si>
    <t>811GGW0K</t>
  </si>
  <si>
    <t>767KOK6B</t>
  </si>
  <si>
    <t>893CXG8E</t>
  </si>
  <si>
    <t>963IRS4E</t>
  </si>
  <si>
    <t>025JBZ1W</t>
  </si>
  <si>
    <t>977PKE5G</t>
  </si>
  <si>
    <t>463UWC2D</t>
  </si>
  <si>
    <t>256QJE3L</t>
  </si>
  <si>
    <t>417TCW5Z</t>
  </si>
  <si>
    <t>606JEY2R</t>
  </si>
  <si>
    <t>329EGL7H</t>
  </si>
  <si>
    <t>629OMB4N</t>
  </si>
  <si>
    <t>206XRL7E</t>
  </si>
  <si>
    <t>922FSJ0Z</t>
  </si>
  <si>
    <t>937GNE6L</t>
  </si>
  <si>
    <t>242LML5C</t>
  </si>
  <si>
    <t>727KBD9C</t>
  </si>
  <si>
    <t>059BJA6A</t>
  </si>
  <si>
    <t>157KGO8N</t>
  </si>
  <si>
    <t>823WJH1F</t>
  </si>
  <si>
    <t>586ATT3Y</t>
  </si>
  <si>
    <t>809GQL0K</t>
  </si>
  <si>
    <t>747UFO9T</t>
  </si>
  <si>
    <t>279OOQ1C</t>
  </si>
  <si>
    <t>564INK7F</t>
  </si>
  <si>
    <t>290KLA8Y</t>
  </si>
  <si>
    <t>131UWN8H</t>
  </si>
  <si>
    <t>659DRR3A</t>
  </si>
  <si>
    <t>661CSW0T</t>
  </si>
  <si>
    <t>319VHV8P</t>
  </si>
  <si>
    <t>293LYL6V</t>
  </si>
  <si>
    <t>712NHS5B</t>
  </si>
  <si>
    <t>186PES6M</t>
  </si>
  <si>
    <t>232UFA2T</t>
  </si>
  <si>
    <t>589SXM2Z</t>
  </si>
  <si>
    <t>654XDQ4F</t>
  </si>
  <si>
    <t>368LVJ7E</t>
  </si>
  <si>
    <t>547MIS4G</t>
  </si>
  <si>
    <t>815JLO6G</t>
  </si>
  <si>
    <t>722LXA4R</t>
  </si>
  <si>
    <t>099WFI5E</t>
  </si>
  <si>
    <t>798OYZ7U</t>
  </si>
  <si>
    <t>227DTU0T</t>
  </si>
  <si>
    <t>075DHP8K</t>
  </si>
  <si>
    <t>289YKH5O</t>
  </si>
  <si>
    <t>248HNF8Y</t>
  </si>
  <si>
    <t>994FPZ3S</t>
  </si>
  <si>
    <t>720TLI6A</t>
  </si>
  <si>
    <t>754IVP1O</t>
  </si>
  <si>
    <t>086BTJ2H</t>
  </si>
  <si>
    <t>938ZCJ2M</t>
  </si>
  <si>
    <t>993UQI2F</t>
  </si>
  <si>
    <t>126ORA8C</t>
  </si>
  <si>
    <t>503CHV9Y</t>
  </si>
  <si>
    <t>259VTF8T</t>
  </si>
  <si>
    <t>174QQP5W</t>
  </si>
  <si>
    <t>176PEQ1Q</t>
  </si>
  <si>
    <t>790ZQO9B</t>
  </si>
  <si>
    <t>075YDB5U</t>
  </si>
  <si>
    <t>158OLF3S</t>
  </si>
  <si>
    <t>471WKZ9R</t>
  </si>
  <si>
    <t>573BKR6G</t>
  </si>
  <si>
    <t>491OKD3K</t>
  </si>
  <si>
    <t>018ACC2E</t>
  </si>
  <si>
    <t>296CXG7O</t>
  </si>
  <si>
    <t>580NSA1S</t>
  </si>
  <si>
    <t>325KFP3Q</t>
  </si>
  <si>
    <t>355BNL5A</t>
  </si>
  <si>
    <t>876OKL0I</t>
  </si>
  <si>
    <t>564ZAE9Y</t>
  </si>
  <si>
    <t>294RMR8V</t>
  </si>
  <si>
    <t>586JXM4Q</t>
  </si>
  <si>
    <t>462HAT7Q</t>
  </si>
  <si>
    <t>416JKF1B</t>
  </si>
  <si>
    <t>335FGS1Z</t>
  </si>
  <si>
    <t>347YEO5V</t>
  </si>
  <si>
    <t>759NTS0P</t>
  </si>
  <si>
    <t>257SOZ3Q</t>
  </si>
  <si>
    <t>812PYK0D</t>
  </si>
  <si>
    <t>220EWV1K</t>
  </si>
  <si>
    <t>088ASC7H</t>
  </si>
  <si>
    <t>959RLO7X</t>
  </si>
  <si>
    <t>151TMY4W</t>
  </si>
  <si>
    <t>202WLJ1S</t>
  </si>
  <si>
    <t>291KJD0W</t>
  </si>
  <si>
    <t>699MCR7C</t>
  </si>
  <si>
    <t>363CAQ4P</t>
  </si>
  <si>
    <t>841VCF2Q</t>
  </si>
  <si>
    <t>313QEH4Q</t>
  </si>
  <si>
    <t>997AWH2J</t>
  </si>
  <si>
    <t>846IZZ6H</t>
  </si>
  <si>
    <t>134ZYY4W</t>
  </si>
  <si>
    <t>237XQW1Z</t>
  </si>
  <si>
    <t>630LKP3Z</t>
  </si>
  <si>
    <t>029GAH6A</t>
  </si>
  <si>
    <t>606BHR2T</t>
  </si>
  <si>
    <t>349PYK8Z</t>
  </si>
  <si>
    <t>361JZD4G</t>
  </si>
  <si>
    <t>733VQQ9V</t>
  </si>
  <si>
    <t>022TTG9L</t>
  </si>
  <si>
    <t>911LCE2N</t>
  </si>
  <si>
    <t>306ABO8M</t>
  </si>
  <si>
    <t>699IRR8J</t>
  </si>
  <si>
    <t>707FTY2R</t>
  </si>
  <si>
    <t>786IEA0O</t>
  </si>
  <si>
    <t>340IAU8I</t>
  </si>
  <si>
    <t>441IVX4K</t>
  </si>
  <si>
    <t>280AKO3K</t>
  </si>
  <si>
    <t>160JKG2D</t>
  </si>
  <si>
    <t>347ZWH4M</t>
  </si>
  <si>
    <t>169PSJ6U</t>
  </si>
  <si>
    <t>814QQY5I</t>
  </si>
  <si>
    <t>788FHD7Y</t>
  </si>
  <si>
    <t>313NOK8X</t>
  </si>
  <si>
    <t>518DVV8A</t>
  </si>
  <si>
    <t>939NHB4O</t>
  </si>
  <si>
    <t>446YYJ8Z</t>
  </si>
  <si>
    <t>753ZZT8O</t>
  </si>
  <si>
    <t>850KJD4N</t>
  </si>
  <si>
    <t>871BPV8I</t>
  </si>
  <si>
    <t>149HYZ9C</t>
  </si>
  <si>
    <t>950CZX6Z</t>
  </si>
  <si>
    <t>475AGT1H</t>
  </si>
  <si>
    <t>166VLJ7K</t>
  </si>
  <si>
    <t>652FZH3D</t>
  </si>
  <si>
    <t>757NCL9K</t>
  </si>
  <si>
    <t>600WAH6A</t>
  </si>
  <si>
    <t>822ZLI6G</t>
  </si>
  <si>
    <t>934OOO3N</t>
  </si>
  <si>
    <t>234DGR2A</t>
  </si>
  <si>
    <t>720LKQ5H</t>
  </si>
  <si>
    <t>615AGY0B</t>
  </si>
  <si>
    <t>110TUK2Z</t>
  </si>
  <si>
    <t>809XRL5X</t>
  </si>
  <si>
    <t>424POV2U</t>
  </si>
  <si>
    <t>533VOX6T</t>
  </si>
  <si>
    <t>815HLA0K</t>
  </si>
  <si>
    <t>457NNO5P</t>
  </si>
  <si>
    <t>069HYT7T</t>
  </si>
  <si>
    <t>235TSL7J</t>
  </si>
  <si>
    <t>417ILZ7H</t>
  </si>
  <si>
    <t>548FZG9B</t>
  </si>
  <si>
    <t>150NYN4S</t>
  </si>
  <si>
    <t>464LXR6N</t>
  </si>
  <si>
    <t>288EBI1H</t>
  </si>
  <si>
    <t>186KYT8J</t>
  </si>
  <si>
    <t>986KDP3N</t>
  </si>
  <si>
    <t>184DIJ4V</t>
  </si>
  <si>
    <t>547TYX4O</t>
  </si>
  <si>
    <t>335HET0X</t>
  </si>
  <si>
    <t>295SBQ4X</t>
  </si>
  <si>
    <t>359NXS4W</t>
  </si>
  <si>
    <t>741AFM9I</t>
  </si>
  <si>
    <t>864PZP6L</t>
  </si>
  <si>
    <t>089JBN7C</t>
  </si>
  <si>
    <t>400KQD0C</t>
  </si>
  <si>
    <t>756OMY1D</t>
  </si>
  <si>
    <t>261ZKQ6U</t>
  </si>
  <si>
    <t>840IFN0Y</t>
  </si>
  <si>
    <t>363GUB7C</t>
  </si>
  <si>
    <t>790UFC6W</t>
  </si>
  <si>
    <t>449PQT6Q</t>
  </si>
  <si>
    <t>861JWJ0U</t>
  </si>
  <si>
    <t>779BSU9N</t>
  </si>
  <si>
    <t>925XUG9H</t>
  </si>
  <si>
    <t>387CFP3P</t>
  </si>
  <si>
    <t>001VMG5O</t>
  </si>
  <si>
    <t>000ZMU4K</t>
  </si>
  <si>
    <t>504EQW3Y</t>
  </si>
  <si>
    <t>030UHK1L</t>
  </si>
  <si>
    <t>417SQL9K</t>
  </si>
  <si>
    <t>376UEG3J</t>
  </si>
  <si>
    <t>435QHZ3L</t>
  </si>
  <si>
    <t>563XHA1A</t>
  </si>
  <si>
    <t>080EFV7B</t>
  </si>
  <si>
    <t>310KPC3G</t>
  </si>
  <si>
    <t>899AJA8B</t>
  </si>
  <si>
    <t>483ETG2U</t>
  </si>
  <si>
    <t>925NEM6D</t>
  </si>
  <si>
    <t>034ZWW2F</t>
  </si>
  <si>
    <t>306DNY3E</t>
  </si>
  <si>
    <t>757ZFT5G</t>
  </si>
  <si>
    <t>081GSX5U</t>
  </si>
  <si>
    <t>307VWG9Y</t>
  </si>
  <si>
    <t>480EDY8K</t>
  </si>
  <si>
    <t>Rótulos de Linha</t>
  </si>
  <si>
    <t>Total Geral</t>
  </si>
  <si>
    <t>Soma de Valor</t>
  </si>
  <si>
    <t>Soma de Taxas</t>
  </si>
  <si>
    <t>Dados Resumidos da Base</t>
  </si>
  <si>
    <t>578VHY1Y</t>
  </si>
  <si>
    <t>Nível</t>
  </si>
  <si>
    <t>Quantidades</t>
  </si>
  <si>
    <t>% real</t>
  </si>
  <si>
    <t>estouro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</si>
</sst>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&quot;R$&quot;\ #,##0.00"/>
    <numFmt numFmtId="165" formatCode="0.0%"/>
    <numFmt numFmtId="167" formatCode="_-* #,##0.0000_-;\-* #,##0.00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theme="4" tint="-0.49998474074526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 tint="-0.749992370372631"/>
        <bgColor theme="4" tint="-0.499984740745262"/>
      </patternFill>
    </fill>
    <fill>
      <patternFill patternType="solid">
        <fgColor theme="2" tint="-9.9978637043366805E-2"/>
        <bgColor theme="4" tint="0.59999389629810485"/>
      </patternFill>
    </fill>
    <fill>
      <patternFill patternType="solid">
        <fgColor theme="7" tint="-0.249977111117893"/>
        <bgColor theme="4" tint="-0.499984740745262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hair">
        <color theme="0" tint="-0.14996795556505021"/>
      </top>
      <bottom style="hair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4" fontId="2" fillId="5" borderId="2" xfId="0" applyNumberFormat="1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5" fontId="0" fillId="9" borderId="3" xfId="1" applyNumberFormat="1" applyFont="1" applyFill="1" applyBorder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164" fontId="0" fillId="0" borderId="0" xfId="0" applyNumberFormat="1"/>
    <xf numFmtId="43" fontId="2" fillId="3" borderId="2" xfId="0" applyNumberFormat="1" applyFont="1" applyFill="1" applyBorder="1" applyAlignment="1">
      <alignment horizontal="center"/>
    </xf>
    <xf numFmtId="43" fontId="0" fillId="0" borderId="0" xfId="2" applyFont="1"/>
    <xf numFmtId="43" fontId="0" fillId="0" borderId="0" xfId="0" applyNumberFormat="1"/>
    <xf numFmtId="0" fontId="0" fillId="0" borderId="0" xfId="0"/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167" fontId="0" fillId="0" borderId="0" xfId="2" applyNumberFormat="1" applyFont="1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0" applyNumberFormat="1" applyAlignment="1">
      <alignment horizontal="center"/>
    </xf>
    <xf numFmtId="0" fontId="4" fillId="8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165" fontId="5" fillId="12" borderId="4" xfId="1" applyNumberFormat="1" applyFont="1" applyFill="1" applyBorder="1" applyAlignment="1">
      <alignment horizontal="center" vertical="center"/>
    </xf>
    <xf numFmtId="2" fontId="6" fillId="12" borderId="4" xfId="0" applyNumberFormat="1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8"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839FD7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phael Faria Richter" refreshedDate="44457.469770833333" createdVersion="7" refreshedVersion="7" minRefreshableVersion="3" recordCount="265" xr:uid="{671257E5-CEC6-4F7F-9666-863CF08867C1}">
  <cacheSource type="worksheet">
    <worksheetSource name="Tabela1"/>
  </cacheSource>
  <cacheFields count="5">
    <cacheField name="Prestador" numFmtId="0">
      <sharedItems/>
    </cacheField>
    <cacheField name="Senha" numFmtId="0">
      <sharedItems/>
    </cacheField>
    <cacheField name="Nivel" numFmtId="0">
      <sharedItems containsSemiMixedTypes="0" containsString="0" containsNumber="1" containsInteger="1" minValue="0" maxValue="8" count="9">
        <n v="0"/>
        <n v="4"/>
        <n v="2"/>
        <n v="5"/>
        <n v="6"/>
        <n v="3"/>
        <n v="8"/>
        <n v="7"/>
        <n v="1"/>
      </sharedItems>
    </cacheField>
    <cacheField name="Valor" numFmtId="0">
      <sharedItems containsSemiMixedTypes="0" containsString="0" containsNumber="1" containsInteger="1" minValue="2358" maxValue="15602"/>
    </cacheField>
    <cacheField name="Taxas" numFmtId="0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s v="Hospital Saúde"/>
    <s v="578VHY1Y"/>
    <x v="0"/>
    <n v="3049"/>
    <n v="1"/>
  </r>
  <r>
    <s v="Hospital Saúde"/>
    <s v="550SRI4Y"/>
    <x v="1"/>
    <n v="6671"/>
    <n v="1"/>
  </r>
  <r>
    <s v="Hospital Saúde"/>
    <s v="311JRA6T"/>
    <x v="2"/>
    <n v="4679"/>
    <n v="1"/>
  </r>
  <r>
    <s v="Hospital Saúde"/>
    <s v="280NRB1V"/>
    <x v="1"/>
    <n v="6161"/>
    <n v="1"/>
  </r>
  <r>
    <s v="Hospital Saúde"/>
    <s v="304MEA8J"/>
    <x v="1"/>
    <n v="5985"/>
    <n v="1"/>
  </r>
  <r>
    <s v="Hospital Saúde"/>
    <s v="225SBG9O"/>
    <x v="3"/>
    <n v="8416"/>
    <n v="3"/>
  </r>
  <r>
    <s v="Hospital Saúde"/>
    <s v="430XVT9D"/>
    <x v="3"/>
    <n v="8917"/>
    <n v="3"/>
  </r>
  <r>
    <s v="Hospital Saúde"/>
    <s v="835CTC1E"/>
    <x v="3"/>
    <n v="8699"/>
    <n v="2"/>
  </r>
  <r>
    <s v="Hospital Saúde"/>
    <s v="766RMK7A"/>
    <x v="2"/>
    <n v="4255"/>
    <n v="1"/>
  </r>
  <r>
    <s v="Hospital Saúde"/>
    <s v="196LPM3M"/>
    <x v="4"/>
    <n v="9452"/>
    <n v="2"/>
  </r>
  <r>
    <s v="Hospital Saúde"/>
    <s v="113EFQ6B"/>
    <x v="5"/>
    <n v="5127"/>
    <n v="1"/>
  </r>
  <r>
    <s v="Hospital Saúde"/>
    <s v="092CTS0A"/>
    <x v="6"/>
    <n v="12995"/>
    <n v="2"/>
  </r>
  <r>
    <s v="Hospital Saúde"/>
    <s v="439ZDW7F"/>
    <x v="3"/>
    <n v="8293"/>
    <n v="3"/>
  </r>
  <r>
    <s v="Hospital Saúde"/>
    <s v="678XHP7Q"/>
    <x v="3"/>
    <n v="6940"/>
    <n v="2"/>
  </r>
  <r>
    <s v="Hospital Saúde"/>
    <s v="930IZH8L"/>
    <x v="3"/>
    <n v="7278"/>
    <n v="3"/>
  </r>
  <r>
    <s v="Hospital Saúde"/>
    <s v="806ZMW1Y"/>
    <x v="7"/>
    <n v="9903"/>
    <n v="4"/>
  </r>
  <r>
    <s v="Hospital Saúde"/>
    <s v="999MVY3W"/>
    <x v="3"/>
    <n v="6991"/>
    <n v="2"/>
  </r>
  <r>
    <s v="Hospital Saúde"/>
    <s v="188SQJ3H"/>
    <x v="3"/>
    <n v="8449"/>
    <n v="2"/>
  </r>
  <r>
    <s v="Hospital Saúde"/>
    <s v="922OAA1J"/>
    <x v="5"/>
    <n v="5436"/>
    <n v="1"/>
  </r>
  <r>
    <s v="Hospital Saúde"/>
    <s v="317BGF6B"/>
    <x v="2"/>
    <n v="4871"/>
    <n v="1"/>
  </r>
  <r>
    <s v="Hospital Saúde"/>
    <s v="506QVI6K"/>
    <x v="2"/>
    <n v="4712"/>
    <n v="1"/>
  </r>
  <r>
    <s v="Hospital Saúde"/>
    <s v="138YPV8L"/>
    <x v="5"/>
    <n v="4422"/>
    <n v="1"/>
  </r>
  <r>
    <s v="Hospital Saúde"/>
    <s v="919ASA8P"/>
    <x v="5"/>
    <n v="5535"/>
    <n v="1"/>
  </r>
  <r>
    <s v="Hospital Saúde"/>
    <s v="355ZEU0D"/>
    <x v="0"/>
    <n v="2481"/>
    <n v="1"/>
  </r>
  <r>
    <s v="Hospital Saúde"/>
    <s v="135DXW0W"/>
    <x v="5"/>
    <n v="5828"/>
    <n v="1"/>
  </r>
  <r>
    <s v="Hospital Saúde"/>
    <s v="074DYX7V"/>
    <x v="3"/>
    <n v="6906"/>
    <n v="2"/>
  </r>
  <r>
    <s v="Hospital Saúde"/>
    <s v="161WST6P"/>
    <x v="1"/>
    <n v="6584"/>
    <n v="2"/>
  </r>
  <r>
    <s v="Hospital Saúde"/>
    <s v="684IKJ0U"/>
    <x v="4"/>
    <n v="10027"/>
    <n v="2"/>
  </r>
  <r>
    <s v="Hospital Saúde"/>
    <s v="578PGQ0O"/>
    <x v="8"/>
    <n v="3780"/>
    <n v="1"/>
  </r>
  <r>
    <s v="Hospital Saúde"/>
    <s v="851QRJ1O"/>
    <x v="2"/>
    <n v="4623"/>
    <n v="1"/>
  </r>
  <r>
    <s v="Hospital Saúde"/>
    <s v="314OHF3T"/>
    <x v="4"/>
    <n v="9784"/>
    <n v="3"/>
  </r>
  <r>
    <s v="Hospital Saúde"/>
    <s v="521NRP1S"/>
    <x v="4"/>
    <n v="9556"/>
    <n v="2"/>
  </r>
  <r>
    <s v="Hospital Saúde"/>
    <s v="871VBJ3N"/>
    <x v="2"/>
    <n v="4471"/>
    <n v="1"/>
  </r>
  <r>
    <s v="Hospital Saúde"/>
    <s v="789MAV3Z"/>
    <x v="5"/>
    <n v="5984"/>
    <n v="1"/>
  </r>
  <r>
    <s v="Hospital Saúde"/>
    <s v="655MDP1Z"/>
    <x v="5"/>
    <n v="4684"/>
    <n v="1"/>
  </r>
  <r>
    <s v="Hospital Saúde"/>
    <s v="329UUP2S"/>
    <x v="1"/>
    <n v="6929"/>
    <n v="1"/>
  </r>
  <r>
    <s v="Hospital Saúde"/>
    <s v="766OEA2L"/>
    <x v="6"/>
    <n v="15602"/>
    <n v="3"/>
  </r>
  <r>
    <s v="Hospital Saúde"/>
    <s v="674DNJ8L"/>
    <x v="7"/>
    <n v="11631"/>
    <n v="2"/>
  </r>
  <r>
    <s v="Hospital Saúde"/>
    <s v="669HXR0B"/>
    <x v="5"/>
    <n v="4915"/>
    <n v="1"/>
  </r>
  <r>
    <s v="Hospital Saúde"/>
    <s v="612CTO8H"/>
    <x v="3"/>
    <n v="6586"/>
    <n v="2"/>
  </r>
  <r>
    <s v="Hospital Saúde"/>
    <s v="475JCV3V"/>
    <x v="1"/>
    <n v="6655"/>
    <n v="2"/>
  </r>
  <r>
    <s v="Hospital Saúde"/>
    <s v="599ZFF5Z"/>
    <x v="8"/>
    <n v="3935"/>
    <n v="1"/>
  </r>
  <r>
    <s v="Hospital Saúde"/>
    <s v="928UXP1R"/>
    <x v="1"/>
    <n v="6761"/>
    <n v="1"/>
  </r>
  <r>
    <s v="Hospital Saúde"/>
    <s v="388NPG6Y"/>
    <x v="5"/>
    <n v="4504"/>
    <n v="1"/>
  </r>
  <r>
    <s v="Hospital Saúde"/>
    <s v="117TTI2U"/>
    <x v="0"/>
    <n v="2453"/>
    <n v="1"/>
  </r>
  <r>
    <s v="Hospital Saúde"/>
    <s v="535QHG0N"/>
    <x v="5"/>
    <n v="5188"/>
    <n v="2"/>
  </r>
  <r>
    <s v="Hospital Saúde"/>
    <s v="873FUE6Q"/>
    <x v="5"/>
    <n v="5010"/>
    <n v="1"/>
  </r>
  <r>
    <s v="Hospital Saúde"/>
    <s v="005MBT7C"/>
    <x v="7"/>
    <n v="10828"/>
    <n v="2"/>
  </r>
  <r>
    <s v="Hospital Saúde"/>
    <s v="125SFF7M"/>
    <x v="3"/>
    <n v="7548"/>
    <n v="2"/>
  </r>
  <r>
    <s v="Hospital Saúde"/>
    <s v="403CTF3R"/>
    <x v="1"/>
    <n v="6325"/>
    <n v="2"/>
  </r>
  <r>
    <s v="Hospital Saúde"/>
    <s v="507NQG3B"/>
    <x v="1"/>
    <n v="7222"/>
    <n v="1"/>
  </r>
  <r>
    <s v="Hospital Saúde"/>
    <s v="405QPW8M"/>
    <x v="2"/>
    <n v="4339"/>
    <n v="1"/>
  </r>
  <r>
    <s v="Hospital Saúde"/>
    <s v="609XJP4T"/>
    <x v="3"/>
    <n v="6742"/>
    <n v="1"/>
  </r>
  <r>
    <s v="Hospital Saúde"/>
    <s v="180ALG8D"/>
    <x v="1"/>
    <n v="6301"/>
    <n v="1"/>
  </r>
  <r>
    <s v="Hospital Saúde"/>
    <s v="351SUT9K"/>
    <x v="8"/>
    <n v="3353"/>
    <n v="1"/>
  </r>
  <r>
    <s v="Hospital Saúde"/>
    <s v="416MTV2M"/>
    <x v="4"/>
    <n v="9196"/>
    <n v="3"/>
  </r>
  <r>
    <s v="Hospital Saúde"/>
    <s v="037QOM1Q"/>
    <x v="1"/>
    <n v="5484"/>
    <n v="1"/>
  </r>
  <r>
    <s v="Hospital Saúde"/>
    <s v="183GNM7X"/>
    <x v="1"/>
    <n v="5512"/>
    <n v="1"/>
  </r>
  <r>
    <s v="Hospital Saúde"/>
    <s v="717IRS5J"/>
    <x v="0"/>
    <n v="2813"/>
    <n v="1"/>
  </r>
  <r>
    <s v="Hospital Saúde"/>
    <s v="068POX1D"/>
    <x v="4"/>
    <n v="10729"/>
    <n v="3"/>
  </r>
  <r>
    <s v="Hospital Saúde"/>
    <s v="287ERM3A"/>
    <x v="1"/>
    <n v="6910"/>
    <n v="1"/>
  </r>
  <r>
    <s v="Hospital Saúde"/>
    <s v="620ARU2K"/>
    <x v="4"/>
    <n v="10689"/>
    <n v="2"/>
  </r>
  <r>
    <s v="Hospital Saúde"/>
    <s v="654WBO5K"/>
    <x v="8"/>
    <n v="3421"/>
    <n v="1"/>
  </r>
  <r>
    <s v="Hospital Saúde"/>
    <s v="753DUS4O"/>
    <x v="0"/>
    <n v="3005"/>
    <n v="1"/>
  </r>
  <r>
    <s v="Hospital Saúde"/>
    <s v="480SRX2A"/>
    <x v="5"/>
    <n v="5373"/>
    <n v="1"/>
  </r>
  <r>
    <s v="Hospital Saúde"/>
    <s v="674FAZ0W"/>
    <x v="4"/>
    <n v="8785"/>
    <n v="2"/>
  </r>
  <r>
    <s v="Hospital Saúde"/>
    <s v="521QEN2D"/>
    <x v="2"/>
    <n v="4616"/>
    <n v="1"/>
  </r>
  <r>
    <s v="Hospital Saúde"/>
    <s v="301FYA2J"/>
    <x v="8"/>
    <n v="3034"/>
    <n v="1"/>
  </r>
  <r>
    <s v="Hospital Saúde"/>
    <s v="298PQF4X"/>
    <x v="0"/>
    <n v="2833"/>
    <n v="1"/>
  </r>
  <r>
    <s v="Hospital Saúde"/>
    <s v="027JGU8U"/>
    <x v="5"/>
    <n v="4673"/>
    <n v="1"/>
  </r>
  <r>
    <s v="Hospital Saúde"/>
    <s v="038DHZ4Y"/>
    <x v="1"/>
    <n v="5830"/>
    <n v="1"/>
  </r>
  <r>
    <s v="Hospital Saúde"/>
    <s v="280QFB1H"/>
    <x v="0"/>
    <n v="2381"/>
    <n v="1"/>
  </r>
  <r>
    <s v="Hospital Saúde"/>
    <s v="810CVJ2V"/>
    <x v="5"/>
    <n v="4473"/>
    <n v="2"/>
  </r>
  <r>
    <s v="Hospital Saúde"/>
    <s v="874WTF9H"/>
    <x v="1"/>
    <n v="6497"/>
    <n v="2"/>
  </r>
  <r>
    <s v="Hospital Saúde"/>
    <s v="549JZR3C"/>
    <x v="5"/>
    <n v="5835"/>
    <n v="2"/>
  </r>
  <r>
    <s v="Hospital Saúde"/>
    <s v="132UDL3P"/>
    <x v="6"/>
    <n v="13754"/>
    <n v="4"/>
  </r>
  <r>
    <s v="Hospital Saúde"/>
    <s v="256CYG7Q"/>
    <x v="0"/>
    <n v="2482"/>
    <n v="1"/>
  </r>
  <r>
    <s v="Hospital Saúde"/>
    <s v="046LBZ1T"/>
    <x v="0"/>
    <n v="2358"/>
    <n v="1"/>
  </r>
  <r>
    <s v="Hospital Saúde"/>
    <s v="391JVC9A"/>
    <x v="5"/>
    <n v="5534"/>
    <n v="2"/>
  </r>
  <r>
    <s v="Hospital Saúde"/>
    <s v="234JTN9Q"/>
    <x v="1"/>
    <n v="6644"/>
    <n v="1"/>
  </r>
  <r>
    <s v="Hospital Saúde"/>
    <s v="811GGW0K"/>
    <x v="8"/>
    <n v="3964"/>
    <n v="1"/>
  </r>
  <r>
    <s v="Hospital Saúde"/>
    <s v="767KOK6B"/>
    <x v="7"/>
    <n v="12281"/>
    <n v="4"/>
  </r>
  <r>
    <s v="Hospital Saúde"/>
    <s v="893CXG8E"/>
    <x v="5"/>
    <n v="4780"/>
    <n v="2"/>
  </r>
  <r>
    <s v="Hospital Saúde"/>
    <s v="963IRS4E"/>
    <x v="5"/>
    <n v="5396"/>
    <n v="1"/>
  </r>
  <r>
    <s v="Hospital Saúde"/>
    <s v="025JBZ1W"/>
    <x v="5"/>
    <n v="5205"/>
    <n v="1"/>
  </r>
  <r>
    <s v="Hospital Saúde"/>
    <s v="977PKE5G"/>
    <x v="5"/>
    <n v="5293"/>
    <n v="1"/>
  </r>
  <r>
    <s v="Hospital Saúde"/>
    <s v="463UWC2D"/>
    <x v="7"/>
    <n v="10348"/>
    <n v="4"/>
  </r>
  <r>
    <s v="Hospital Saúde"/>
    <s v="256QJE3L"/>
    <x v="8"/>
    <n v="3176"/>
    <n v="1"/>
  </r>
  <r>
    <s v="Hospital Saúde"/>
    <s v="417TCW5Z"/>
    <x v="3"/>
    <n v="7545"/>
    <n v="2"/>
  </r>
  <r>
    <s v="Hospital Saúde"/>
    <s v="606JEY2R"/>
    <x v="8"/>
    <n v="3792"/>
    <n v="1"/>
  </r>
  <r>
    <s v="Hospital Saúde"/>
    <s v="329EGL7H"/>
    <x v="5"/>
    <n v="5602"/>
    <n v="1"/>
  </r>
  <r>
    <s v="Hospital Saúde"/>
    <s v="629OMB4N"/>
    <x v="8"/>
    <n v="3149"/>
    <n v="1"/>
  </r>
  <r>
    <s v="Hospital Saúde"/>
    <s v="206XRL7E"/>
    <x v="1"/>
    <n v="7067"/>
    <n v="1"/>
  </r>
  <r>
    <s v="Hospital Saúde"/>
    <s v="922FSJ0Z"/>
    <x v="8"/>
    <n v="3083"/>
    <n v="1"/>
  </r>
  <r>
    <s v="Hospital Saúde"/>
    <s v="937GNE6L"/>
    <x v="2"/>
    <n v="4302"/>
    <n v="1"/>
  </r>
  <r>
    <s v="Hospital Saúde"/>
    <s v="242LML5C"/>
    <x v="0"/>
    <n v="2736"/>
    <n v="1"/>
  </r>
  <r>
    <s v="Hospital Saúde"/>
    <s v="727KBD9C"/>
    <x v="2"/>
    <n v="3730"/>
    <n v="1"/>
  </r>
  <r>
    <s v="Hospital Saúde"/>
    <s v="059BJA6A"/>
    <x v="5"/>
    <n v="5083"/>
    <n v="1"/>
  </r>
  <r>
    <s v="Hospital Saúde"/>
    <s v="157KGO8N"/>
    <x v="0"/>
    <n v="2620"/>
    <n v="1"/>
  </r>
  <r>
    <s v="Hospital Saúde"/>
    <s v="823WJH1F"/>
    <x v="1"/>
    <n v="5715"/>
    <n v="1"/>
  </r>
  <r>
    <s v="Hospital Saúde"/>
    <s v="586ATT3Y"/>
    <x v="3"/>
    <n v="6869"/>
    <n v="1"/>
  </r>
  <r>
    <s v="Hospital Saúde"/>
    <s v="809GQL0K"/>
    <x v="3"/>
    <n v="8869"/>
    <n v="1"/>
  </r>
  <r>
    <s v="Hospital Saúde"/>
    <s v="747UFO9T"/>
    <x v="4"/>
    <n v="8869"/>
    <n v="2"/>
  </r>
  <r>
    <s v="Hospital Saúde"/>
    <s v="279OOQ1C"/>
    <x v="4"/>
    <n v="8182"/>
    <n v="2"/>
  </r>
  <r>
    <s v="Hospital Saúde"/>
    <s v="564INK7F"/>
    <x v="3"/>
    <n v="7026"/>
    <n v="1"/>
  </r>
  <r>
    <s v="Hospital Saúde"/>
    <s v="290KLA8Y"/>
    <x v="4"/>
    <n v="9855"/>
    <n v="2"/>
  </r>
  <r>
    <s v="Hospital Saúde"/>
    <s v="131UWN8H"/>
    <x v="8"/>
    <n v="3756"/>
    <n v="1"/>
  </r>
  <r>
    <s v="Hospital Saúde"/>
    <s v="659DRR3A"/>
    <x v="0"/>
    <n v="2944"/>
    <n v="1"/>
  </r>
  <r>
    <s v="Hospital Saúde"/>
    <s v="661CSW0T"/>
    <x v="3"/>
    <n v="8231"/>
    <n v="2"/>
  </r>
  <r>
    <s v="Hospital Saúde"/>
    <s v="319VHV8P"/>
    <x v="5"/>
    <n v="4460"/>
    <n v="1"/>
  </r>
  <r>
    <s v="Hospital Saúde"/>
    <s v="293LYL6V"/>
    <x v="7"/>
    <n v="13102"/>
    <n v="2"/>
  </r>
  <r>
    <s v="Hospital Saúde"/>
    <s v="712NHS5B"/>
    <x v="8"/>
    <n v="3231"/>
    <n v="1"/>
  </r>
  <r>
    <s v="Hospital Saúde"/>
    <s v="186PES6M"/>
    <x v="8"/>
    <n v="3039"/>
    <n v="1"/>
  </r>
  <r>
    <s v="Hospital Saúde"/>
    <s v="232UFA2T"/>
    <x v="0"/>
    <n v="2672"/>
    <n v="1"/>
  </r>
  <r>
    <s v="Hospital Saúde"/>
    <s v="589SXM2Z"/>
    <x v="5"/>
    <n v="5676"/>
    <n v="2"/>
  </r>
  <r>
    <s v="Hospital Saúde"/>
    <s v="654XDQ4F"/>
    <x v="4"/>
    <n v="8203"/>
    <n v="3"/>
  </r>
  <r>
    <s v="Hospital Saúde"/>
    <s v="368LVJ7E"/>
    <x v="3"/>
    <n v="7234"/>
    <n v="1"/>
  </r>
  <r>
    <s v="Hospital Saúde"/>
    <s v="547MIS4G"/>
    <x v="4"/>
    <n v="10264"/>
    <n v="2"/>
  </r>
  <r>
    <s v="Hospital Saúde"/>
    <s v="815JLO6G"/>
    <x v="5"/>
    <n v="4778"/>
    <n v="1"/>
  </r>
  <r>
    <s v="Hospital Saúde"/>
    <s v="722LXA4R"/>
    <x v="5"/>
    <n v="5382"/>
    <n v="2"/>
  </r>
  <r>
    <s v="Hospital Saúde"/>
    <s v="099WFI5E"/>
    <x v="0"/>
    <n v="3154"/>
    <n v="1"/>
  </r>
  <r>
    <s v="Hospital Saúde"/>
    <s v="798OYZ7U"/>
    <x v="3"/>
    <n v="7740"/>
    <n v="3"/>
  </r>
  <r>
    <s v="Hospital Saúde"/>
    <s v="227DTU0T"/>
    <x v="3"/>
    <n v="7941"/>
    <n v="3"/>
  </r>
  <r>
    <s v="Hospital Saúde"/>
    <s v="075DHP8K"/>
    <x v="5"/>
    <n v="5931"/>
    <n v="1"/>
  </r>
  <r>
    <s v="Hospital Saúde"/>
    <s v="289YKH5O"/>
    <x v="2"/>
    <n v="4487"/>
    <n v="1"/>
  </r>
  <r>
    <s v="Hospital Saúde"/>
    <s v="248HNF8Y"/>
    <x v="0"/>
    <n v="3203"/>
    <n v="1"/>
  </r>
  <r>
    <s v="Hospital Saúde"/>
    <s v="994FPZ3S"/>
    <x v="1"/>
    <n v="6285"/>
    <n v="2"/>
  </r>
  <r>
    <s v="Hospital Saúde"/>
    <s v="720TLI6A"/>
    <x v="5"/>
    <n v="4949"/>
    <n v="1"/>
  </r>
  <r>
    <s v="Hospital Saúde"/>
    <s v="754IVP1O"/>
    <x v="0"/>
    <n v="3272"/>
    <n v="1"/>
  </r>
  <r>
    <s v="Hospital Saúde"/>
    <s v="086BTJ2H"/>
    <x v="3"/>
    <n v="6850"/>
    <n v="2"/>
  </r>
  <r>
    <s v="Hospital Saúde"/>
    <s v="938ZCJ2M"/>
    <x v="8"/>
    <n v="3591"/>
    <n v="1"/>
  </r>
  <r>
    <s v="Hospital Saúde"/>
    <s v="993UQI2F"/>
    <x v="1"/>
    <n v="5594"/>
    <n v="2"/>
  </r>
  <r>
    <s v="Hospital Saúde"/>
    <s v="126ORA8C"/>
    <x v="5"/>
    <n v="5794"/>
    <n v="2"/>
  </r>
  <r>
    <s v="Hospital Saúde"/>
    <s v="503CHV9Y"/>
    <x v="5"/>
    <n v="4594"/>
    <n v="2"/>
  </r>
  <r>
    <s v="Hospital Saúde"/>
    <s v="259VTF8T"/>
    <x v="4"/>
    <n v="9161"/>
    <n v="3"/>
  </r>
  <r>
    <s v="Hospital Saúde"/>
    <s v="174QQP5W"/>
    <x v="4"/>
    <n v="9609"/>
    <n v="2"/>
  </r>
  <r>
    <s v="Hospital Saúde"/>
    <s v="176PEQ1Q"/>
    <x v="4"/>
    <n v="9808"/>
    <n v="2"/>
  </r>
  <r>
    <s v="Hospital Saúde"/>
    <s v="790ZQO9B"/>
    <x v="2"/>
    <n v="4007"/>
    <n v="1"/>
  </r>
  <r>
    <s v="Hospital Saúde"/>
    <s v="075YDB5U"/>
    <x v="1"/>
    <n v="5413"/>
    <n v="1"/>
  </r>
  <r>
    <s v="Hospital Saúde"/>
    <s v="158OLF3S"/>
    <x v="4"/>
    <n v="8662"/>
    <n v="3"/>
  </r>
  <r>
    <s v="Hospital Saúde"/>
    <s v="471WKZ9R"/>
    <x v="8"/>
    <n v="3206"/>
    <n v="1"/>
  </r>
  <r>
    <s v="Hospital Saúde"/>
    <s v="573BKR6G"/>
    <x v="3"/>
    <n v="8762"/>
    <n v="1"/>
  </r>
  <r>
    <s v="Hospital Saúde"/>
    <s v="491OKD3K"/>
    <x v="1"/>
    <n v="6649"/>
    <n v="1"/>
  </r>
  <r>
    <s v="Hospital Saúde"/>
    <s v="018ACC2E"/>
    <x v="8"/>
    <n v="3517"/>
    <n v="1"/>
  </r>
  <r>
    <s v="Hospital Saúde"/>
    <s v="296CXG7O"/>
    <x v="8"/>
    <n v="3296"/>
    <n v="1"/>
  </r>
  <r>
    <s v="Hospital Saúde"/>
    <s v="580NSA1S"/>
    <x v="3"/>
    <n v="6749"/>
    <n v="1"/>
  </r>
  <r>
    <s v="Hospital Saúde"/>
    <s v="325KFP3Q"/>
    <x v="6"/>
    <n v="13508"/>
    <n v="2"/>
  </r>
  <r>
    <s v="Hospital Saúde"/>
    <s v="355BNL5A"/>
    <x v="3"/>
    <n v="7145"/>
    <n v="3"/>
  </r>
  <r>
    <s v="Hospital Saúde"/>
    <s v="876OKL0I"/>
    <x v="3"/>
    <n v="8027"/>
    <n v="2"/>
  </r>
  <r>
    <s v="Hospital Saúde"/>
    <s v="564ZAE9Y"/>
    <x v="1"/>
    <n v="6029"/>
    <n v="1"/>
  </r>
  <r>
    <s v="Hospital Saúde"/>
    <s v="294RMR8V"/>
    <x v="1"/>
    <n v="6714"/>
    <n v="1"/>
  </r>
  <r>
    <s v="Hospital Saúde"/>
    <s v="586JXM4Q"/>
    <x v="1"/>
    <n v="6018"/>
    <n v="1"/>
  </r>
  <r>
    <s v="Hospital Saúde"/>
    <s v="462HAT7Q"/>
    <x v="4"/>
    <n v="9912"/>
    <n v="2"/>
  </r>
  <r>
    <s v="Hospital Saúde"/>
    <s v="416JKF1B"/>
    <x v="1"/>
    <n v="6767"/>
    <n v="1"/>
  </r>
  <r>
    <s v="Hospital Saúde"/>
    <s v="335FGS1Z"/>
    <x v="1"/>
    <n v="6802"/>
    <n v="2"/>
  </r>
  <r>
    <s v="Hospital Saúde"/>
    <s v="347YEO5V"/>
    <x v="1"/>
    <n v="5605"/>
    <n v="2"/>
  </r>
  <r>
    <s v="Hospital Saúde"/>
    <s v="759NTS0P"/>
    <x v="5"/>
    <n v="5147"/>
    <n v="1"/>
  </r>
  <r>
    <s v="Hospital Saúde"/>
    <s v="257SOZ3Q"/>
    <x v="2"/>
    <n v="3980"/>
    <n v="1"/>
  </r>
  <r>
    <s v="Hospital Saúde"/>
    <s v="812PYK0D"/>
    <x v="4"/>
    <n v="9224"/>
    <n v="2"/>
  </r>
  <r>
    <s v="Hospital Saúde"/>
    <s v="220EWV1K"/>
    <x v="2"/>
    <n v="4490"/>
    <n v="1"/>
  </r>
  <r>
    <s v="Hospital Saúde"/>
    <s v="088ASC7H"/>
    <x v="1"/>
    <n v="6039"/>
    <n v="1"/>
  </r>
  <r>
    <s v="Hospital Saúde"/>
    <s v="959RLO7X"/>
    <x v="3"/>
    <n v="6694"/>
    <n v="3"/>
  </r>
  <r>
    <s v="Hospital Saúde"/>
    <s v="151TMY4W"/>
    <x v="5"/>
    <n v="5830"/>
    <n v="1"/>
  </r>
  <r>
    <s v="Hospital Saúde"/>
    <s v="202WLJ1S"/>
    <x v="4"/>
    <n v="10688"/>
    <n v="3"/>
  </r>
  <r>
    <s v="Hospital Saúde"/>
    <s v="291KJD0W"/>
    <x v="5"/>
    <n v="5825"/>
    <n v="2"/>
  </r>
  <r>
    <s v="Hospital Saúde"/>
    <s v="699MCR7C"/>
    <x v="7"/>
    <n v="11476"/>
    <n v="4"/>
  </r>
  <r>
    <s v="Hospital Saúde"/>
    <s v="363CAQ4P"/>
    <x v="3"/>
    <n v="6763"/>
    <n v="2"/>
  </r>
  <r>
    <s v="Hospital Saúde"/>
    <s v="841VCF2Q"/>
    <x v="4"/>
    <n v="9983"/>
    <n v="3"/>
  </r>
  <r>
    <s v="Hospital Saúde"/>
    <s v="313QEH4Q"/>
    <x v="0"/>
    <n v="3129"/>
    <n v="1"/>
  </r>
  <r>
    <s v="Hospital Saúde"/>
    <s v="997AWH2J"/>
    <x v="2"/>
    <n v="4496"/>
    <n v="1"/>
  </r>
  <r>
    <s v="Hospital Saúde"/>
    <s v="846IZZ6H"/>
    <x v="4"/>
    <n v="10084"/>
    <n v="2"/>
  </r>
  <r>
    <s v="Hospital Saúde"/>
    <s v="134ZYY4W"/>
    <x v="3"/>
    <n v="7525"/>
    <n v="2"/>
  </r>
  <r>
    <s v="Hospital Saúde"/>
    <s v="237XQW1Z"/>
    <x v="8"/>
    <n v="3896"/>
    <n v="1"/>
  </r>
  <r>
    <s v="Hospital Saúde"/>
    <s v="630LKP3Z"/>
    <x v="2"/>
    <n v="4337"/>
    <n v="1"/>
  </r>
  <r>
    <s v="Hospital Saúde"/>
    <s v="029GAH6A"/>
    <x v="0"/>
    <n v="2872"/>
    <n v="1"/>
  </r>
  <r>
    <s v="Hospital Saúde"/>
    <s v="606BHR2T"/>
    <x v="3"/>
    <n v="8577"/>
    <n v="3"/>
  </r>
  <r>
    <s v="Hospital Saúde"/>
    <s v="349PYK8Z"/>
    <x v="5"/>
    <n v="4812"/>
    <n v="2"/>
  </r>
  <r>
    <s v="Hospital Saúde"/>
    <s v="361JZD4G"/>
    <x v="1"/>
    <n v="6978"/>
    <n v="1"/>
  </r>
  <r>
    <s v="Hospital Saúde"/>
    <s v="733VQQ9V"/>
    <x v="4"/>
    <n v="8678"/>
    <n v="3"/>
  </r>
  <r>
    <s v="Hospital Saúde"/>
    <s v="022TTG9L"/>
    <x v="3"/>
    <n v="8308"/>
    <n v="3"/>
  </r>
  <r>
    <s v="Hospital Saúde"/>
    <s v="911LCE2N"/>
    <x v="1"/>
    <n v="6613"/>
    <n v="1"/>
  </r>
  <r>
    <s v="Hospital Saúde"/>
    <s v="306ABO8M"/>
    <x v="5"/>
    <n v="4814"/>
    <n v="1"/>
  </r>
  <r>
    <s v="Hospital Saúde"/>
    <s v="699IRR8J"/>
    <x v="5"/>
    <n v="4745"/>
    <n v="2"/>
  </r>
  <r>
    <s v="Hospital Saúde"/>
    <s v="707FTY2R"/>
    <x v="2"/>
    <n v="4138"/>
    <n v="1"/>
  </r>
  <r>
    <s v="Hospital Saúde"/>
    <s v="786IEA0O"/>
    <x v="8"/>
    <n v="3154"/>
    <n v="1"/>
  </r>
  <r>
    <s v="Hospital Saúde"/>
    <s v="340IAU8I"/>
    <x v="4"/>
    <n v="9514"/>
    <n v="2"/>
  </r>
  <r>
    <s v="Hospital Saúde"/>
    <s v="441IVX4K"/>
    <x v="5"/>
    <n v="4745"/>
    <n v="2"/>
  </r>
  <r>
    <s v="Hospital Saúde"/>
    <s v="280AKO3K"/>
    <x v="8"/>
    <n v="3590"/>
    <n v="1"/>
  </r>
  <r>
    <s v="Hospital Saúde"/>
    <s v="160JKG2D"/>
    <x v="7"/>
    <n v="12407"/>
    <n v="2"/>
  </r>
  <r>
    <s v="Hospital Saúde"/>
    <s v="347ZWH4M"/>
    <x v="1"/>
    <n v="5619"/>
    <n v="2"/>
  </r>
  <r>
    <s v="Hospital Saúde"/>
    <s v="169PSJ6U"/>
    <x v="8"/>
    <n v="3267"/>
    <n v="1"/>
  </r>
  <r>
    <s v="Hospital Saúde"/>
    <s v="814QQY5I"/>
    <x v="3"/>
    <n v="6634"/>
    <n v="3"/>
  </r>
  <r>
    <s v="Hospital Saúde"/>
    <s v="788FHD7Y"/>
    <x v="1"/>
    <n v="5857"/>
    <n v="1"/>
  </r>
  <r>
    <s v="Hospital Saúde"/>
    <s v="313NOK8X"/>
    <x v="2"/>
    <n v="4510"/>
    <n v="1"/>
  </r>
  <r>
    <s v="Hospital Saúde"/>
    <s v="518DVV8A"/>
    <x v="0"/>
    <n v="2881"/>
    <n v="1"/>
  </r>
  <r>
    <s v="Hospital Saúde"/>
    <s v="939NHB4O"/>
    <x v="3"/>
    <n v="7012"/>
    <n v="1"/>
  </r>
  <r>
    <s v="Hospital Saúde"/>
    <s v="446YYJ8Z"/>
    <x v="5"/>
    <n v="5320"/>
    <n v="1"/>
  </r>
  <r>
    <s v="Hospital Saúde"/>
    <s v="753ZZT8O"/>
    <x v="0"/>
    <n v="2495"/>
    <n v="1"/>
  </r>
  <r>
    <s v="Hospital Saúde"/>
    <s v="850KJD4N"/>
    <x v="1"/>
    <n v="5679"/>
    <n v="1"/>
  </r>
  <r>
    <s v="Hospital Saúde"/>
    <s v="871BPV8I"/>
    <x v="6"/>
    <n v="14259"/>
    <n v="3"/>
  </r>
  <r>
    <s v="Hospital Saúde"/>
    <s v="149HYZ9C"/>
    <x v="4"/>
    <n v="10081"/>
    <n v="2"/>
  </r>
  <r>
    <s v="Hospital Saúde"/>
    <s v="950CZX6Z"/>
    <x v="5"/>
    <n v="5032"/>
    <n v="1"/>
  </r>
  <r>
    <s v="Hospital Saúde"/>
    <s v="475AGT1H"/>
    <x v="3"/>
    <n v="8426"/>
    <n v="3"/>
  </r>
  <r>
    <s v="Hospital Saúde"/>
    <s v="166VLJ7K"/>
    <x v="3"/>
    <n v="7478"/>
    <n v="3"/>
  </r>
  <r>
    <s v="Hospital Saúde"/>
    <s v="652FZH3D"/>
    <x v="7"/>
    <n v="11719"/>
    <n v="2"/>
  </r>
  <r>
    <s v="Hospital Saúde"/>
    <s v="757NCL9K"/>
    <x v="1"/>
    <n v="5940"/>
    <n v="2"/>
  </r>
  <r>
    <s v="Hospital Saúde"/>
    <s v="600WAH6A"/>
    <x v="1"/>
    <n v="6171"/>
    <n v="1"/>
  </r>
  <r>
    <s v="Hospital Saúde"/>
    <s v="822ZLI6G"/>
    <x v="4"/>
    <n v="10766"/>
    <n v="2"/>
  </r>
  <r>
    <s v="Hospital Saúde"/>
    <s v="934OOO3N"/>
    <x v="0"/>
    <n v="3218"/>
    <n v="1"/>
  </r>
  <r>
    <s v="Hospital Saúde"/>
    <s v="234DGR2A"/>
    <x v="1"/>
    <n v="6301"/>
    <n v="2"/>
  </r>
  <r>
    <s v="Hospital Saúde"/>
    <s v="720LKQ5H"/>
    <x v="1"/>
    <n v="6345"/>
    <n v="1"/>
  </r>
  <r>
    <s v="Hospital Saúde"/>
    <s v="615AGY0B"/>
    <x v="5"/>
    <n v="5512"/>
    <n v="1"/>
  </r>
  <r>
    <s v="Hospital Saúde"/>
    <s v="110TUK2Z"/>
    <x v="1"/>
    <n v="6943"/>
    <n v="1"/>
  </r>
  <r>
    <s v="Hospital Saúde"/>
    <s v="809XRL5X"/>
    <x v="3"/>
    <n v="6733"/>
    <n v="2"/>
  </r>
  <r>
    <s v="Hospital Saúde"/>
    <s v="424POV2U"/>
    <x v="7"/>
    <n v="11851"/>
    <n v="2"/>
  </r>
  <r>
    <s v="Hospital Saúde"/>
    <s v="533VOX6T"/>
    <x v="1"/>
    <n v="5415"/>
    <n v="1"/>
  </r>
  <r>
    <s v="Hospital Saúde"/>
    <s v="815HLA0K"/>
    <x v="7"/>
    <n v="12576"/>
    <n v="4"/>
  </r>
  <r>
    <s v="Hospital Saúde"/>
    <s v="457NNO5P"/>
    <x v="2"/>
    <n v="4660"/>
    <n v="1"/>
  </r>
  <r>
    <s v="Hospital Saúde"/>
    <s v="069HYT7T"/>
    <x v="4"/>
    <n v="8227"/>
    <n v="2"/>
  </r>
  <r>
    <s v="Hospital Saúde"/>
    <s v="235TSL7J"/>
    <x v="2"/>
    <n v="4223"/>
    <n v="1"/>
  </r>
  <r>
    <s v="Hospital Saúde"/>
    <s v="417ILZ7H"/>
    <x v="1"/>
    <n v="6801"/>
    <n v="1"/>
  </r>
  <r>
    <s v="Hospital Saúde"/>
    <s v="548FZG9B"/>
    <x v="7"/>
    <n v="12018"/>
    <n v="4"/>
  </r>
  <r>
    <s v="Hospital Saúde"/>
    <s v="150NYN4S"/>
    <x v="0"/>
    <n v="2695"/>
    <n v="1"/>
  </r>
  <r>
    <s v="Hospital Saúde"/>
    <s v="464LXR6N"/>
    <x v="0"/>
    <n v="3255"/>
    <n v="1"/>
  </r>
  <r>
    <s v="Hospital Saúde"/>
    <s v="288EBI1H"/>
    <x v="0"/>
    <n v="2927"/>
    <n v="1"/>
  </r>
  <r>
    <s v="Hospital Saúde"/>
    <s v="186KYT8J"/>
    <x v="3"/>
    <n v="6634"/>
    <n v="1"/>
  </r>
  <r>
    <s v="Hospital Saúde"/>
    <s v="986KDP3N"/>
    <x v="0"/>
    <n v="3252"/>
    <n v="1"/>
  </r>
  <r>
    <s v="Hospital Saúde"/>
    <s v="184DIJ4V"/>
    <x v="1"/>
    <n v="5909"/>
    <n v="2"/>
  </r>
  <r>
    <s v="Hospital Saúde"/>
    <s v="547TYX4O"/>
    <x v="3"/>
    <n v="8168"/>
    <n v="2"/>
  </r>
  <r>
    <s v="Hospital Saúde"/>
    <s v="335HET0X"/>
    <x v="1"/>
    <n v="6358"/>
    <n v="1"/>
  </r>
  <r>
    <s v="Hospital Saúde"/>
    <s v="295SBQ4X"/>
    <x v="5"/>
    <n v="5939"/>
    <n v="1"/>
  </r>
  <r>
    <s v="Hospital Saúde"/>
    <s v="359NXS4W"/>
    <x v="7"/>
    <n v="12636"/>
    <n v="4"/>
  </r>
  <r>
    <s v="Hospital Saúde"/>
    <s v="741AFM9I"/>
    <x v="0"/>
    <n v="3122"/>
    <n v="1"/>
  </r>
  <r>
    <s v="Hospital Saúde"/>
    <s v="864PZP6L"/>
    <x v="3"/>
    <n v="7242"/>
    <n v="3"/>
  </r>
  <r>
    <s v="Hospital Saúde"/>
    <s v="089JBN7C"/>
    <x v="3"/>
    <n v="8738"/>
    <n v="3"/>
  </r>
  <r>
    <s v="Hospital Saúde"/>
    <s v="400KQD0C"/>
    <x v="7"/>
    <n v="9906"/>
    <n v="2"/>
  </r>
  <r>
    <s v="Hospital Saúde"/>
    <s v="756OMY1D"/>
    <x v="1"/>
    <n v="6636"/>
    <n v="2"/>
  </r>
  <r>
    <s v="Hospital Saúde"/>
    <s v="261ZKQ6U"/>
    <x v="3"/>
    <n v="7386"/>
    <n v="2"/>
  </r>
  <r>
    <s v="Hospital Saúde"/>
    <s v="840IFN0Y"/>
    <x v="2"/>
    <n v="4685"/>
    <n v="1"/>
  </r>
  <r>
    <s v="Hospital Saúde"/>
    <s v="363GUB7C"/>
    <x v="2"/>
    <n v="3718"/>
    <n v="1"/>
  </r>
  <r>
    <s v="Hospital Saúde"/>
    <s v="790UFC6W"/>
    <x v="1"/>
    <n v="6702"/>
    <n v="1"/>
  </r>
  <r>
    <s v="Hospital Saúde"/>
    <s v="449PQT6Q"/>
    <x v="3"/>
    <n v="8116"/>
    <n v="1"/>
  </r>
  <r>
    <s v="Hospital Saúde"/>
    <s v="861JWJ0U"/>
    <x v="4"/>
    <n v="8085"/>
    <n v="2"/>
  </r>
  <r>
    <s v="Hospital Saúde"/>
    <s v="779BSU9N"/>
    <x v="4"/>
    <n v="10794"/>
    <n v="2"/>
  </r>
  <r>
    <s v="Hospital Saúde"/>
    <s v="925XUG9H"/>
    <x v="7"/>
    <n v="10868"/>
    <n v="2"/>
  </r>
  <r>
    <s v="Hospital Saúde"/>
    <s v="387CFP3P"/>
    <x v="7"/>
    <n v="10646"/>
    <n v="2"/>
  </r>
  <r>
    <s v="Hospital Saúde"/>
    <s v="001VMG5O"/>
    <x v="8"/>
    <n v="3317"/>
    <n v="1"/>
  </r>
  <r>
    <s v="Hospital Saúde"/>
    <s v="000ZMU4K"/>
    <x v="8"/>
    <n v="3480"/>
    <n v="1"/>
  </r>
  <r>
    <s v="Hospital Saúde"/>
    <s v="504EQW3Y"/>
    <x v="5"/>
    <n v="5347"/>
    <n v="1"/>
  </r>
  <r>
    <s v="Hospital Saúde"/>
    <s v="030UHK1L"/>
    <x v="3"/>
    <n v="8042"/>
    <n v="2"/>
  </r>
  <r>
    <s v="Hospital Saúde"/>
    <s v="417SQL9K"/>
    <x v="0"/>
    <n v="2478"/>
    <n v="1"/>
  </r>
  <r>
    <s v="Hospital Saúde"/>
    <s v="376UEG3J"/>
    <x v="6"/>
    <n v="14382"/>
    <n v="3"/>
  </r>
  <r>
    <s v="Hospital Saúde"/>
    <s v="435QHZ3L"/>
    <x v="3"/>
    <n v="6855"/>
    <n v="2"/>
  </r>
  <r>
    <s v="Hospital Saúde"/>
    <s v="563XHA1A"/>
    <x v="1"/>
    <n v="6384"/>
    <n v="2"/>
  </r>
  <r>
    <s v="Hospital Saúde"/>
    <s v="080EFV7B"/>
    <x v="5"/>
    <n v="4579"/>
    <n v="1"/>
  </r>
  <r>
    <s v="Hospital Saúde"/>
    <s v="310KPC3G"/>
    <x v="3"/>
    <n v="6834"/>
    <n v="3"/>
  </r>
  <r>
    <s v="Hospital Saúde"/>
    <s v="899AJA8B"/>
    <x v="8"/>
    <n v="3357"/>
    <n v="1"/>
  </r>
  <r>
    <s v="Hospital Saúde"/>
    <s v="483ETG2U"/>
    <x v="1"/>
    <n v="6158"/>
    <n v="1"/>
  </r>
  <r>
    <s v="Hospital Saúde"/>
    <s v="925NEM6D"/>
    <x v="3"/>
    <n v="7259"/>
    <n v="2"/>
  </r>
  <r>
    <s v="Hospital Saúde"/>
    <s v="034ZWW2F"/>
    <x v="3"/>
    <n v="8098"/>
    <n v="1"/>
  </r>
  <r>
    <s v="Hospital Saúde"/>
    <s v="306DNY3E"/>
    <x v="8"/>
    <n v="3884"/>
    <n v="1"/>
  </r>
  <r>
    <s v="Hospital Saúde"/>
    <s v="757ZFT5G"/>
    <x v="2"/>
    <n v="3991"/>
    <n v="1"/>
  </r>
  <r>
    <s v="Hospital Saúde"/>
    <s v="081GSX5U"/>
    <x v="6"/>
    <n v="12564"/>
    <n v="4"/>
  </r>
  <r>
    <s v="Hospital Saúde"/>
    <s v="307VWG9Y"/>
    <x v="5"/>
    <n v="4537"/>
    <n v="1"/>
  </r>
  <r>
    <s v="Hospital Saúde"/>
    <s v="480EDY8K"/>
    <x v="0"/>
    <n v="323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903D1E-02C5-4D42-9CC3-BDDD017C7BC7}" name="Tabela dinâmica1" cacheId="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N3:P13" firstHeaderRow="0" firstDataRow="1" firstDataCol="1"/>
  <pivotFields count="5">
    <pivotField showAll="0"/>
    <pivotField showAll="0"/>
    <pivotField axis="axisRow" showAll="0">
      <items count="10">
        <item x="0"/>
        <item x="8"/>
        <item x="2"/>
        <item x="5"/>
        <item x="1"/>
        <item x="3"/>
        <item x="4"/>
        <item x="7"/>
        <item x="6"/>
        <item t="default"/>
      </items>
    </pivotField>
    <pivotField dataField="1" showAll="0"/>
    <pivotField dataField="1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" fld="3" baseField="0" baseItem="0" numFmtId="43"/>
    <dataField name="Soma de Taxas" fld="4" baseField="0" baseItem="0"/>
  </dataFields>
  <formats count="11">
    <format dxfId="1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">
      <pivotArea field="2" type="button" dataOnly="0" labelOnly="1" outline="0" axis="axisRow" fieldPosition="0"/>
    </format>
    <format dxfId="4">
      <pivotArea dataOnly="0" labelOnly="1" fieldPosition="0">
        <references count="1">
          <reference field="2" count="0"/>
        </references>
      </pivotArea>
    </format>
    <format dxfId="3">
      <pivotArea dataOnly="0" labelOnly="1" grandRow="1" outline="0" fieldPosition="0"/>
    </format>
    <format dxfId="2">
      <pivotArea field="2" type="button" dataOnly="0" labelOnly="1" outline="0" axis="axisRow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2DF7E1-DA2E-466C-BC9F-2F0DB021D768}" name="Tabela1" displayName="Tabela1" ref="A1:E266" totalsRowShown="0" headerRowDxfId="11" dataDxfId="12">
  <autoFilter ref="A1:E266" xr:uid="{DD2DF7E1-DA2E-466C-BC9F-2F0DB021D768}"/>
  <tableColumns count="5">
    <tableColumn id="1" xr3:uid="{B9B3C494-7F33-4E3A-9FCB-07BE8167C433}" name="Prestador" dataDxfId="17"/>
    <tableColumn id="2" xr3:uid="{91AACFB2-E33E-4055-964E-883E0F5679CD}" name="Senha" dataDxfId="16"/>
    <tableColumn id="3" xr3:uid="{C78154F3-CC8C-4FD9-9E8F-CC6945C07088}" name="Nivel" dataDxfId="15">
      <calculatedColumnFormula array="1">_xlfn.LET(_xlpm.Coin,RANDBETWEEN(1,100),_xlpm.opcao1,RANDBETWEEN(0,2),_xlpm.opcao2,RANDBETWEEN(3,5),_xlpm.opcao3,6,_xlpm.opcao4,7,_xlpm.opcao5,8,
_xlfn.IFS(_xlpm.Coin&lt;=50,_xlpm.opcao2,
_xlpm.Coin&lt;=80,_xlpm.opcao1,
_xlpm.Coin&lt;=90,_xlpm.opcao3,
_xlpm.Coin&lt;=97,_xlpm.opcao4,
_xlpm.Coin&lt;=100,_xlpm.opcao5))</calculatedColumnFormula>
    </tableColumn>
    <tableColumn id="4" xr3:uid="{16CED0E4-08FC-4A06-9DE0-C5798253A5BF}" name="Valor" dataDxfId="14">
      <calculatedColumnFormula>RANDBETWEEN(_xlfn.XLOOKUP(C2,#REF!,#REF!,""),_xlfn.XLOOKUP(C2,#REF!,#REF!,""))</calculatedColumnFormula>
    </tableColumn>
    <tableColumn id="5" xr3:uid="{B2553560-73C6-4B55-B973-51FBFF4F6DAA}" name="Taxas" dataDxfId="13">
      <calculatedColumnFormula>_xlfn.LET(_xlpm.taxas,ROUND(IFERROR(C2/RANDBETWEEN(2,4),1),0),IF(_xlpm.taxas=0,1,_xlpm.taxas))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676F2-BF41-4FFB-974F-75260C3995F0}">
  <sheetPr codeName="Planilha24">
    <tabColor theme="7"/>
  </sheetPr>
  <dimension ref="A1:Q23"/>
  <sheetViews>
    <sheetView showGridLines="0" tabSelected="1" zoomScale="90" zoomScaleNormal="90" workbookViewId="0">
      <selection activeCell="C9" sqref="C9"/>
    </sheetView>
  </sheetViews>
  <sheetFormatPr defaultRowHeight="15.05" x14ac:dyDescent="0.3"/>
  <cols>
    <col min="1" max="1" width="4" customWidth="1"/>
    <col min="2" max="2" width="16" customWidth="1"/>
    <col min="3" max="3" width="19.109375" bestFit="1" customWidth="1"/>
    <col min="4" max="4" width="1.5546875" customWidth="1"/>
    <col min="5" max="5" width="16" customWidth="1"/>
    <col min="6" max="6" width="11.6640625" style="1" customWidth="1"/>
    <col min="7" max="7" width="8.88671875" style="2"/>
    <col min="10" max="10" width="12.6640625" bestFit="1" customWidth="1"/>
    <col min="11" max="11" width="13.5546875" bestFit="1" customWidth="1"/>
    <col min="12" max="12" width="20" bestFit="1" customWidth="1"/>
    <col min="14" max="14" width="18.109375" style="2" bestFit="1" customWidth="1"/>
    <col min="15" max="15" width="12.6640625" bestFit="1" customWidth="1"/>
    <col min="16" max="16" width="12.5546875" style="2" bestFit="1" customWidth="1"/>
  </cols>
  <sheetData>
    <row r="1" spans="1:17" x14ac:dyDescent="0.3">
      <c r="N1" s="21" t="s">
        <v>286</v>
      </c>
      <c r="O1" s="21"/>
      <c r="P1" s="21"/>
    </row>
    <row r="3" spans="1:17" x14ac:dyDescent="0.3">
      <c r="N3" s="20" t="s">
        <v>282</v>
      </c>
      <c r="O3" s="18" t="s">
        <v>284</v>
      </c>
      <c r="P3" s="2" t="s">
        <v>285</v>
      </c>
    </row>
    <row r="4" spans="1:17" x14ac:dyDescent="0.3">
      <c r="N4" s="2">
        <v>0</v>
      </c>
      <c r="O4" s="17">
        <v>80014</v>
      </c>
      <c r="P4" s="19">
        <v>28</v>
      </c>
    </row>
    <row r="5" spans="1:17" x14ac:dyDescent="0.3">
      <c r="A5" s="1"/>
      <c r="L5" s="4" t="s">
        <v>0</v>
      </c>
      <c r="N5" s="2">
        <v>1</v>
      </c>
      <c r="O5" s="17">
        <v>86268</v>
      </c>
      <c r="P5" s="19">
        <v>25</v>
      </c>
    </row>
    <row r="6" spans="1:17" x14ac:dyDescent="0.3">
      <c r="L6" s="7">
        <f>ABS(C7-E22)*(10^2)+MAX(C7-E22,0)*(10^4)</f>
        <v>1.1993106454610825E-4</v>
      </c>
      <c r="N6" s="2">
        <v>2</v>
      </c>
      <c r="O6" s="17">
        <v>100320</v>
      </c>
      <c r="P6" s="19">
        <v>23</v>
      </c>
    </row>
    <row r="7" spans="1:17" x14ac:dyDescent="0.3">
      <c r="B7" s="5" t="s">
        <v>1</v>
      </c>
      <c r="C7" s="6">
        <f>GETPIVOTDATA("Soma de Valor",$N$3)</f>
        <v>1696609</v>
      </c>
      <c r="E7" s="23">
        <f>SUMPRODUCT(B12:B20,C12:C20)/(B20*SUM(C12:C20))</f>
        <v>0.54794117647058826</v>
      </c>
      <c r="F7" s="23">
        <f>SUMPRODUCT(B12:B20,C12:C20)/(B20*SUM(C12:C20))</f>
        <v>0.54794117647058826</v>
      </c>
      <c r="L7" s="7">
        <f>10^(SUM(G13:G20)*2.5)</f>
        <v>1</v>
      </c>
      <c r="N7" s="2">
        <v>3</v>
      </c>
      <c r="O7" s="17">
        <v>227628</v>
      </c>
      <c r="P7" s="19">
        <v>57</v>
      </c>
    </row>
    <row r="8" spans="1:17" x14ac:dyDescent="0.3">
      <c r="B8" s="5" t="s">
        <v>17</v>
      </c>
      <c r="C8" s="3">
        <f>GETPIVOTDATA("Soma de Taxas",$N$3)</f>
        <v>425</v>
      </c>
      <c r="E8" s="24">
        <f>C9/(1+(E7*2))</f>
        <v>1904.697165310132</v>
      </c>
      <c r="F8" s="24">
        <f>C9*(1+(F7*2))</f>
        <v>8366.8067363321788</v>
      </c>
      <c r="L8" s="7"/>
      <c r="N8" s="2">
        <v>4</v>
      </c>
      <c r="O8" s="17">
        <v>295977</v>
      </c>
      <c r="P8" s="19">
        <v>61</v>
      </c>
    </row>
    <row r="9" spans="1:17" x14ac:dyDescent="0.3">
      <c r="B9" s="5" t="s">
        <v>2</v>
      </c>
      <c r="C9" s="6">
        <f>C7/C8</f>
        <v>3992.0211764705882</v>
      </c>
      <c r="F9" s="22"/>
      <c r="L9" s="8">
        <f>SUM(L6:L7)</f>
        <v>1.0001199310645461</v>
      </c>
      <c r="N9" s="2">
        <v>5</v>
      </c>
      <c r="O9" s="17">
        <v>348275</v>
      </c>
      <c r="P9" s="19">
        <v>97</v>
      </c>
    </row>
    <row r="10" spans="1:17" x14ac:dyDescent="0.3">
      <c r="B10" s="1"/>
      <c r="J10" s="2" t="s">
        <v>3</v>
      </c>
      <c r="K10" s="2" t="s">
        <v>4</v>
      </c>
      <c r="N10" s="2">
        <v>6</v>
      </c>
      <c r="O10" s="17">
        <v>276867</v>
      </c>
      <c r="P10" s="19">
        <v>67</v>
      </c>
    </row>
    <row r="11" spans="1:17" x14ac:dyDescent="0.3">
      <c r="B11" s="5" t="s">
        <v>288</v>
      </c>
      <c r="C11" s="5" t="s">
        <v>289</v>
      </c>
      <c r="E11" s="5" t="s">
        <v>5</v>
      </c>
      <c r="F11" s="25" t="s">
        <v>290</v>
      </c>
      <c r="G11" s="26" t="s">
        <v>291</v>
      </c>
      <c r="H11" s="9" t="s">
        <v>6</v>
      </c>
      <c r="I11" s="9" t="s">
        <v>7</v>
      </c>
      <c r="J11" s="10" t="s">
        <v>8</v>
      </c>
      <c r="K11" s="10" t="s">
        <v>9</v>
      </c>
      <c r="N11" s="2">
        <v>7</v>
      </c>
      <c r="O11" s="17">
        <v>184196</v>
      </c>
      <c r="P11" s="19">
        <v>46</v>
      </c>
      <c r="Q11" s="16"/>
    </row>
    <row r="12" spans="1:17" x14ac:dyDescent="0.3">
      <c r="B12" s="11">
        <v>0</v>
      </c>
      <c r="C12" s="3">
        <f>GETPIVOTDATA("Soma de Taxas",$N$3,"Nivel",B12)</f>
        <v>28</v>
      </c>
      <c r="E12" s="6">
        <v>2046.3522965583136</v>
      </c>
      <c r="F12" s="27"/>
      <c r="G12" s="27"/>
      <c r="H12" s="12"/>
      <c r="I12" s="12"/>
      <c r="J12" s="13">
        <f>E8</f>
        <v>1904.697165310132</v>
      </c>
      <c r="K12" s="13">
        <f>K13/(1+I12)</f>
        <v>2441.1237501402716</v>
      </c>
      <c r="L12" s="14"/>
      <c r="N12" s="2">
        <v>8</v>
      </c>
      <c r="O12" s="17">
        <v>97064</v>
      </c>
      <c r="P12" s="19">
        <v>21</v>
      </c>
    </row>
    <row r="13" spans="1:17" x14ac:dyDescent="0.3">
      <c r="B13" s="11">
        <v>1</v>
      </c>
      <c r="C13" s="3">
        <f t="shared" ref="C13:C20" si="0">GETPIVOTDATA("Soma de Taxas",$N$3,"Nivel",B13)</f>
        <v>25</v>
      </c>
      <c r="E13" s="6">
        <v>2416.0361997442124</v>
      </c>
      <c r="F13" s="28">
        <f>E13/E12-1</f>
        <v>0.18065506306399781</v>
      </c>
      <c r="G13" s="29">
        <f>ABS(SUM(MIN(F13-H13,0),MAX(F13-I13,0)))*100</f>
        <v>0</v>
      </c>
      <c r="H13" s="12">
        <v>0.17</v>
      </c>
      <c r="I13" s="12">
        <v>0.25</v>
      </c>
      <c r="J13" s="13">
        <f>J12*(1+H13)</f>
        <v>2228.4956834128543</v>
      </c>
      <c r="K13" s="13">
        <f>K14/(1+I13)</f>
        <v>2441.1237501402716</v>
      </c>
      <c r="L13" s="14"/>
      <c r="N13" s="2" t="s">
        <v>283</v>
      </c>
      <c r="O13" s="17">
        <v>1696609</v>
      </c>
      <c r="P13" s="19">
        <v>425</v>
      </c>
    </row>
    <row r="14" spans="1:17" x14ac:dyDescent="0.3">
      <c r="B14" s="11">
        <v>2</v>
      </c>
      <c r="C14" s="3">
        <f t="shared" si="0"/>
        <v>23</v>
      </c>
      <c r="E14" s="6">
        <v>2927.0919536490528</v>
      </c>
      <c r="F14" s="28">
        <f t="shared" ref="F14:F20" si="1">E14/E13-1</f>
        <v>0.21152653009046229</v>
      </c>
      <c r="G14" s="29">
        <f t="shared" ref="G14:G20" si="2">ABS(SUM(MIN(F14-H14,0),MAX(F14-I14,0)))*100</f>
        <v>0</v>
      </c>
      <c r="H14" s="12">
        <f>H13*0.875</f>
        <v>0.14875000000000002</v>
      </c>
      <c r="I14" s="12">
        <f>I13*0.93</f>
        <v>0.23250000000000001</v>
      </c>
      <c r="J14" s="13">
        <f t="shared" ref="J14:J20" si="3">J13*(1+H14)</f>
        <v>2559.9844163205162</v>
      </c>
      <c r="K14" s="13">
        <f>K15/(1+I14)</f>
        <v>3051.4046876753396</v>
      </c>
      <c r="L14" s="14"/>
    </row>
    <row r="15" spans="1:17" x14ac:dyDescent="0.3">
      <c r="B15" s="11">
        <v>3</v>
      </c>
      <c r="C15" s="3">
        <f t="shared" si="0"/>
        <v>57</v>
      </c>
      <c r="E15" s="6">
        <v>3339.9315386693415</v>
      </c>
      <c r="F15" s="28">
        <f t="shared" si="1"/>
        <v>0.14104086634710034</v>
      </c>
      <c r="G15" s="29">
        <f t="shared" si="2"/>
        <v>0</v>
      </c>
      <c r="H15" s="12">
        <f t="shared" ref="H15:H20" si="4">H14*0.875</f>
        <v>0.13015625000000003</v>
      </c>
      <c r="I15" s="12">
        <f>I14*0.92</f>
        <v>0.21390000000000001</v>
      </c>
      <c r="J15" s="13">
        <f t="shared" si="3"/>
        <v>2893.1823880072334</v>
      </c>
      <c r="K15" s="13">
        <f>K16/(1+I15)</f>
        <v>3760.8562775598557</v>
      </c>
      <c r="L15" s="14"/>
    </row>
    <row r="16" spans="1:17" x14ac:dyDescent="0.3">
      <c r="B16" s="11">
        <v>4</v>
      </c>
      <c r="C16" s="3">
        <f t="shared" si="0"/>
        <v>61</v>
      </c>
      <c r="E16" s="6">
        <v>3767.3419598574487</v>
      </c>
      <c r="F16" s="28">
        <f t="shared" si="1"/>
        <v>0.12796981502153515</v>
      </c>
      <c r="G16" s="29">
        <f t="shared" si="2"/>
        <v>0</v>
      </c>
      <c r="H16" s="12">
        <f t="shared" si="4"/>
        <v>0.11388671875000003</v>
      </c>
      <c r="I16" s="12">
        <f>I15*0.91</f>
        <v>0.19464900000000002</v>
      </c>
      <c r="J16" s="13">
        <f t="shared" si="3"/>
        <v>3222.6774369226669</v>
      </c>
      <c r="K16" s="13">
        <f>K17/(1+I16)</f>
        <v>4565.303435329909</v>
      </c>
      <c r="L16" s="14"/>
    </row>
    <row r="17" spans="2:12" x14ac:dyDescent="0.3">
      <c r="B17" s="11">
        <v>5</v>
      </c>
      <c r="C17" s="3">
        <f t="shared" si="0"/>
        <v>97</v>
      </c>
      <c r="E17" s="6">
        <v>4222.9674971663089</v>
      </c>
      <c r="F17" s="28">
        <f t="shared" si="1"/>
        <v>0.12094084958672036</v>
      </c>
      <c r="G17" s="29">
        <f t="shared" si="2"/>
        <v>0</v>
      </c>
      <c r="H17" s="12">
        <f t="shared" si="4"/>
        <v>9.9650878906250032E-2</v>
      </c>
      <c r="I17" s="12">
        <f t="shared" ref="I17" si="5">I16*0.9</f>
        <v>0.17518410000000001</v>
      </c>
      <c r="J17" s="13">
        <f t="shared" si="3"/>
        <v>3543.8200759433516</v>
      </c>
      <c r="K17" s="13">
        <f>K18/(1+I17)</f>
        <v>5453.9351837134409</v>
      </c>
      <c r="L17" s="14"/>
    </row>
    <row r="18" spans="2:12" x14ac:dyDescent="0.3">
      <c r="B18" s="11">
        <v>6</v>
      </c>
      <c r="C18" s="3">
        <f t="shared" si="0"/>
        <v>67</v>
      </c>
      <c r="E18" s="6">
        <v>4766.8668203697225</v>
      </c>
      <c r="F18" s="28">
        <f t="shared" si="1"/>
        <v>0.12879552673999517</v>
      </c>
      <c r="G18" s="29">
        <f t="shared" si="2"/>
        <v>0</v>
      </c>
      <c r="H18" s="12">
        <f t="shared" si="4"/>
        <v>8.7194519042968779E-2</v>
      </c>
      <c r="I18" s="12">
        <f>I17*0.88</f>
        <v>0.15416200800000002</v>
      </c>
      <c r="J18" s="13">
        <f t="shared" si="3"/>
        <v>3852.8217630400495</v>
      </c>
      <c r="K18" s="13">
        <f>K19/(1+I18)</f>
        <v>6409.3779103306151</v>
      </c>
      <c r="L18" s="14"/>
    </row>
    <row r="19" spans="2:12" x14ac:dyDescent="0.3">
      <c r="B19" s="11">
        <v>7</v>
      </c>
      <c r="C19" s="3">
        <f t="shared" si="0"/>
        <v>46</v>
      </c>
      <c r="E19" s="6">
        <v>5257.961535795057</v>
      </c>
      <c r="F19" s="28">
        <f t="shared" si="1"/>
        <v>0.10302253742999357</v>
      </c>
      <c r="G19" s="29">
        <f t="shared" si="2"/>
        <v>0</v>
      </c>
      <c r="H19" s="12">
        <f t="shared" si="4"/>
        <v>7.6295204162597677E-2</v>
      </c>
      <c r="I19" s="12">
        <f>I18*0.85</f>
        <v>0.13103770680000001</v>
      </c>
      <c r="J19" s="13">
        <f t="shared" si="3"/>
        <v>4146.7735860532894</v>
      </c>
      <c r="K19" s="13">
        <f>K20/(1+I19)</f>
        <v>7397.4604790180274</v>
      </c>
      <c r="L19" s="14"/>
    </row>
    <row r="20" spans="2:12" x14ac:dyDescent="0.3">
      <c r="B20" s="11">
        <v>8</v>
      </c>
      <c r="C20" s="3">
        <f t="shared" si="0"/>
        <v>21</v>
      </c>
      <c r="E20" s="6">
        <v>5739.4763656238174</v>
      </c>
      <c r="F20" s="28">
        <f t="shared" si="1"/>
        <v>9.1578233608350379E-2</v>
      </c>
      <c r="G20" s="29">
        <f t="shared" si="2"/>
        <v>0</v>
      </c>
      <c r="H20" s="12">
        <f t="shared" si="4"/>
        <v>6.6758303642272962E-2</v>
      </c>
      <c r="I20" s="12">
        <f>I19*0.8</f>
        <v>0.10483016544000001</v>
      </c>
      <c r="J20" s="13">
        <f t="shared" si="3"/>
        <v>4423.6051562467919</v>
      </c>
      <c r="K20" s="13">
        <f>F8</f>
        <v>8366.8067363321788</v>
      </c>
      <c r="L20" s="14"/>
    </row>
    <row r="21" spans="2:12" x14ac:dyDescent="0.3">
      <c r="B21" s="1"/>
    </row>
    <row r="22" spans="2:12" x14ac:dyDescent="0.3">
      <c r="B22" s="1"/>
      <c r="C22" s="15" t="s">
        <v>10</v>
      </c>
      <c r="E22" s="15">
        <f>SUMPRODUCT(C12:C20,E12:E20)</f>
        <v>1696609.0000011993</v>
      </c>
    </row>
    <row r="23" spans="2:12" x14ac:dyDescent="0.3">
      <c r="B23" s="1"/>
      <c r="C23" s="15" t="s">
        <v>11</v>
      </c>
      <c r="E23" s="15">
        <f>E22/SUM(C12:C20)</f>
        <v>3992.0211764734099</v>
      </c>
    </row>
  </sheetData>
  <mergeCells count="1">
    <mergeCell ref="N1:P1"/>
  </mergeCells>
  <pageMargins left="0.511811024" right="0.511811024" top="0.78740157499999996" bottom="0.78740157499999996" header="0.31496062000000002" footer="0.31496062000000002"/>
  <pageSetup orientation="portrait" horizontalDpi="30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0103-0D94-428A-A37E-85E1617582BC}">
  <sheetPr>
    <tabColor theme="7" tint="0.79998168889431442"/>
  </sheetPr>
  <dimension ref="A1:H266"/>
  <sheetViews>
    <sheetView showGridLines="0" workbookViewId="0">
      <selection activeCell="K1" sqref="K1:P1048576"/>
    </sheetView>
  </sheetViews>
  <sheetFormatPr defaultRowHeight="15.05" x14ac:dyDescent="0.3"/>
  <cols>
    <col min="1" max="5" width="18.109375" style="1" customWidth="1"/>
  </cols>
  <sheetData>
    <row r="1" spans="1:8" x14ac:dyDescent="0.3">
      <c r="A1" s="1" t="s">
        <v>12</v>
      </c>
      <c r="B1" s="1" t="s">
        <v>13</v>
      </c>
      <c r="C1" s="1" t="s">
        <v>16</v>
      </c>
      <c r="D1" s="1" t="s">
        <v>14</v>
      </c>
      <c r="E1" s="1" t="s">
        <v>17</v>
      </c>
    </row>
    <row r="2" spans="1:8" x14ac:dyDescent="0.3">
      <c r="A2" s="1" t="s">
        <v>15</v>
      </c>
      <c r="B2" s="1" t="s">
        <v>287</v>
      </c>
      <c r="C2" s="1">
        <v>0</v>
      </c>
      <c r="D2" s="1">
        <v>3049</v>
      </c>
      <c r="E2" s="1">
        <v>1</v>
      </c>
      <c r="H2" s="18"/>
    </row>
    <row r="3" spans="1:8" x14ac:dyDescent="0.3">
      <c r="A3" s="1" t="s">
        <v>15</v>
      </c>
      <c r="B3" s="1" t="s">
        <v>18</v>
      </c>
      <c r="C3" s="1">
        <v>4</v>
      </c>
      <c r="D3" s="1">
        <v>6671</v>
      </c>
      <c r="E3" s="1">
        <v>1</v>
      </c>
      <c r="H3" s="18"/>
    </row>
    <row r="4" spans="1:8" x14ac:dyDescent="0.3">
      <c r="A4" s="1" t="s">
        <v>15</v>
      </c>
      <c r="B4" s="1" t="s">
        <v>19</v>
      </c>
      <c r="C4" s="1">
        <v>2</v>
      </c>
      <c r="D4" s="1">
        <v>4679</v>
      </c>
      <c r="E4" s="1">
        <v>1</v>
      </c>
      <c r="H4" s="18"/>
    </row>
    <row r="5" spans="1:8" x14ac:dyDescent="0.3">
      <c r="A5" s="1" t="s">
        <v>15</v>
      </c>
      <c r="B5" s="1" t="s">
        <v>20</v>
      </c>
      <c r="C5" s="1">
        <v>4</v>
      </c>
      <c r="D5" s="1">
        <v>6161</v>
      </c>
      <c r="E5" s="1">
        <v>1</v>
      </c>
      <c r="H5" s="18"/>
    </row>
    <row r="6" spans="1:8" x14ac:dyDescent="0.3">
      <c r="A6" s="1" t="s">
        <v>15</v>
      </c>
      <c r="B6" s="1" t="s">
        <v>21</v>
      </c>
      <c r="C6" s="1">
        <v>4</v>
      </c>
      <c r="D6" s="1">
        <v>5985</v>
      </c>
      <c r="E6" s="1">
        <v>1</v>
      </c>
      <c r="H6" s="18"/>
    </row>
    <row r="7" spans="1:8" x14ac:dyDescent="0.3">
      <c r="A7" s="1" t="s">
        <v>15</v>
      </c>
      <c r="B7" s="1" t="s">
        <v>22</v>
      </c>
      <c r="C7" s="1">
        <v>5</v>
      </c>
      <c r="D7" s="1">
        <v>8416</v>
      </c>
      <c r="E7" s="1">
        <v>3</v>
      </c>
      <c r="H7" s="18"/>
    </row>
    <row r="8" spans="1:8" x14ac:dyDescent="0.3">
      <c r="A8" s="1" t="s">
        <v>15</v>
      </c>
      <c r="B8" s="1" t="s">
        <v>23</v>
      </c>
      <c r="C8" s="1">
        <v>5</v>
      </c>
      <c r="D8" s="1">
        <v>8917</v>
      </c>
      <c r="E8" s="1">
        <v>3</v>
      </c>
      <c r="H8" s="18"/>
    </row>
    <row r="9" spans="1:8" x14ac:dyDescent="0.3">
      <c r="A9" s="1" t="s">
        <v>15</v>
      </c>
      <c r="B9" s="1" t="s">
        <v>24</v>
      </c>
      <c r="C9" s="1">
        <v>5</v>
      </c>
      <c r="D9" s="1">
        <v>8699</v>
      </c>
      <c r="E9" s="1">
        <v>2</v>
      </c>
      <c r="H9" s="18"/>
    </row>
    <row r="10" spans="1:8" x14ac:dyDescent="0.3">
      <c r="A10" s="1" t="s">
        <v>15</v>
      </c>
      <c r="B10" s="1" t="s">
        <v>25</v>
      </c>
      <c r="C10" s="1">
        <v>2</v>
      </c>
      <c r="D10" s="1">
        <v>4255</v>
      </c>
      <c r="E10" s="1">
        <v>1</v>
      </c>
      <c r="H10" s="18"/>
    </row>
    <row r="11" spans="1:8" x14ac:dyDescent="0.3">
      <c r="A11" s="1" t="s">
        <v>15</v>
      </c>
      <c r="B11" s="1" t="s">
        <v>26</v>
      </c>
      <c r="C11" s="1">
        <v>6</v>
      </c>
      <c r="D11" s="1">
        <v>9452</v>
      </c>
      <c r="E11" s="1">
        <v>2</v>
      </c>
      <c r="H11" s="18"/>
    </row>
    <row r="12" spans="1:8" x14ac:dyDescent="0.3">
      <c r="A12" s="1" t="s">
        <v>15</v>
      </c>
      <c r="B12" s="1" t="s">
        <v>27</v>
      </c>
      <c r="C12" s="1">
        <v>3</v>
      </c>
      <c r="D12" s="1">
        <v>5127</v>
      </c>
      <c r="E12" s="1">
        <v>1</v>
      </c>
      <c r="H12" s="18"/>
    </row>
    <row r="13" spans="1:8" x14ac:dyDescent="0.3">
      <c r="A13" s="1" t="s">
        <v>15</v>
      </c>
      <c r="B13" s="1" t="s">
        <v>28</v>
      </c>
      <c r="C13" s="1">
        <v>8</v>
      </c>
      <c r="D13" s="1">
        <v>12995</v>
      </c>
      <c r="E13" s="1">
        <v>2</v>
      </c>
      <c r="H13" s="18"/>
    </row>
    <row r="14" spans="1:8" x14ac:dyDescent="0.3">
      <c r="A14" s="1" t="s">
        <v>15</v>
      </c>
      <c r="B14" s="1" t="s">
        <v>29</v>
      </c>
      <c r="C14" s="1">
        <v>5</v>
      </c>
      <c r="D14" s="1">
        <v>8293</v>
      </c>
      <c r="E14" s="1">
        <v>3</v>
      </c>
      <c r="H14" s="18"/>
    </row>
    <row r="15" spans="1:8" x14ac:dyDescent="0.3">
      <c r="A15" s="1" t="s">
        <v>15</v>
      </c>
      <c r="B15" s="1" t="s">
        <v>30</v>
      </c>
      <c r="C15" s="1">
        <v>5</v>
      </c>
      <c r="D15" s="1">
        <v>6940</v>
      </c>
      <c r="E15" s="1">
        <v>2</v>
      </c>
      <c r="H15" s="18"/>
    </row>
    <row r="16" spans="1:8" x14ac:dyDescent="0.3">
      <c r="A16" s="1" t="s">
        <v>15</v>
      </c>
      <c r="B16" s="1" t="s">
        <v>31</v>
      </c>
      <c r="C16" s="1">
        <v>5</v>
      </c>
      <c r="D16" s="1">
        <v>7278</v>
      </c>
      <c r="E16" s="1">
        <v>3</v>
      </c>
      <c r="H16" s="18"/>
    </row>
    <row r="17" spans="1:8" x14ac:dyDescent="0.3">
      <c r="A17" s="1" t="s">
        <v>15</v>
      </c>
      <c r="B17" s="1" t="s">
        <v>32</v>
      </c>
      <c r="C17" s="1">
        <v>7</v>
      </c>
      <c r="D17" s="1">
        <v>9903</v>
      </c>
      <c r="E17" s="1">
        <v>4</v>
      </c>
      <c r="H17" s="18"/>
    </row>
    <row r="18" spans="1:8" x14ac:dyDescent="0.3">
      <c r="A18" s="1" t="s">
        <v>15</v>
      </c>
      <c r="B18" s="1" t="s">
        <v>33</v>
      </c>
      <c r="C18" s="1">
        <v>5</v>
      </c>
      <c r="D18" s="1">
        <v>6991</v>
      </c>
      <c r="E18" s="1">
        <v>2</v>
      </c>
      <c r="H18" s="18"/>
    </row>
    <row r="19" spans="1:8" x14ac:dyDescent="0.3">
      <c r="A19" s="1" t="s">
        <v>15</v>
      </c>
      <c r="B19" s="1" t="s">
        <v>34</v>
      </c>
      <c r="C19" s="1">
        <v>5</v>
      </c>
      <c r="D19" s="1">
        <v>8449</v>
      </c>
      <c r="E19" s="1">
        <v>2</v>
      </c>
      <c r="H19" s="18"/>
    </row>
    <row r="20" spans="1:8" x14ac:dyDescent="0.3">
      <c r="A20" s="1" t="s">
        <v>15</v>
      </c>
      <c r="B20" s="1" t="s">
        <v>35</v>
      </c>
      <c r="C20" s="1">
        <v>3</v>
      </c>
      <c r="D20" s="1">
        <v>5436</v>
      </c>
      <c r="E20" s="1">
        <v>1</v>
      </c>
      <c r="H20" s="18"/>
    </row>
    <row r="21" spans="1:8" x14ac:dyDescent="0.3">
      <c r="A21" s="1" t="s">
        <v>15</v>
      </c>
      <c r="B21" s="1" t="s">
        <v>36</v>
      </c>
      <c r="C21" s="1">
        <v>2</v>
      </c>
      <c r="D21" s="1">
        <v>4871</v>
      </c>
      <c r="E21" s="1">
        <v>1</v>
      </c>
      <c r="H21" s="18"/>
    </row>
    <row r="22" spans="1:8" x14ac:dyDescent="0.3">
      <c r="A22" s="1" t="s">
        <v>15</v>
      </c>
      <c r="B22" s="1" t="s">
        <v>37</v>
      </c>
      <c r="C22" s="1">
        <v>2</v>
      </c>
      <c r="D22" s="1">
        <v>4712</v>
      </c>
      <c r="E22" s="1">
        <v>1</v>
      </c>
      <c r="H22" s="18"/>
    </row>
    <row r="23" spans="1:8" x14ac:dyDescent="0.3">
      <c r="A23" s="1" t="s">
        <v>15</v>
      </c>
      <c r="B23" s="1" t="s">
        <v>38</v>
      </c>
      <c r="C23" s="1">
        <v>3</v>
      </c>
      <c r="D23" s="1">
        <v>4422</v>
      </c>
      <c r="E23" s="1">
        <v>1</v>
      </c>
      <c r="H23" s="18"/>
    </row>
    <row r="24" spans="1:8" x14ac:dyDescent="0.3">
      <c r="A24" s="1" t="s">
        <v>15</v>
      </c>
      <c r="B24" s="1" t="s">
        <v>39</v>
      </c>
      <c r="C24" s="1">
        <v>3</v>
      </c>
      <c r="D24" s="1">
        <v>5535</v>
      </c>
      <c r="E24" s="1">
        <v>1</v>
      </c>
      <c r="H24" s="18"/>
    </row>
    <row r="25" spans="1:8" x14ac:dyDescent="0.3">
      <c r="A25" s="1" t="s">
        <v>15</v>
      </c>
      <c r="B25" s="1" t="s">
        <v>40</v>
      </c>
      <c r="C25" s="1">
        <v>0</v>
      </c>
      <c r="D25" s="1">
        <v>2481</v>
      </c>
      <c r="E25" s="1">
        <v>1</v>
      </c>
      <c r="H25" s="18"/>
    </row>
    <row r="26" spans="1:8" x14ac:dyDescent="0.3">
      <c r="A26" s="1" t="s">
        <v>15</v>
      </c>
      <c r="B26" s="1" t="s">
        <v>41</v>
      </c>
      <c r="C26" s="1">
        <v>3</v>
      </c>
      <c r="D26" s="1">
        <v>5828</v>
      </c>
      <c r="E26" s="1">
        <v>1</v>
      </c>
      <c r="H26" s="18"/>
    </row>
    <row r="27" spans="1:8" x14ac:dyDescent="0.3">
      <c r="A27" s="1" t="s">
        <v>15</v>
      </c>
      <c r="B27" s="1" t="s">
        <v>42</v>
      </c>
      <c r="C27" s="1">
        <v>5</v>
      </c>
      <c r="D27" s="1">
        <v>6906</v>
      </c>
      <c r="E27" s="1">
        <v>2</v>
      </c>
      <c r="H27" s="18"/>
    </row>
    <row r="28" spans="1:8" x14ac:dyDescent="0.3">
      <c r="A28" s="1" t="s">
        <v>15</v>
      </c>
      <c r="B28" s="1" t="s">
        <v>43</v>
      </c>
      <c r="C28" s="1">
        <v>4</v>
      </c>
      <c r="D28" s="1">
        <v>6584</v>
      </c>
      <c r="E28" s="1">
        <v>2</v>
      </c>
      <c r="H28" s="18"/>
    </row>
    <row r="29" spans="1:8" x14ac:dyDescent="0.3">
      <c r="A29" s="1" t="s">
        <v>15</v>
      </c>
      <c r="B29" s="1" t="s">
        <v>44</v>
      </c>
      <c r="C29" s="1">
        <v>6</v>
      </c>
      <c r="D29" s="1">
        <v>10027</v>
      </c>
      <c r="E29" s="1">
        <v>2</v>
      </c>
      <c r="H29" s="18"/>
    </row>
    <row r="30" spans="1:8" x14ac:dyDescent="0.3">
      <c r="A30" s="1" t="s">
        <v>15</v>
      </c>
      <c r="B30" s="1" t="s">
        <v>45</v>
      </c>
      <c r="C30" s="1">
        <v>1</v>
      </c>
      <c r="D30" s="1">
        <v>3780</v>
      </c>
      <c r="E30" s="1">
        <v>1</v>
      </c>
      <c r="H30" s="18"/>
    </row>
    <row r="31" spans="1:8" x14ac:dyDescent="0.3">
      <c r="A31" s="1" t="s">
        <v>15</v>
      </c>
      <c r="B31" s="1" t="s">
        <v>46</v>
      </c>
      <c r="C31" s="1">
        <v>2</v>
      </c>
      <c r="D31" s="1">
        <v>4623</v>
      </c>
      <c r="E31" s="1">
        <v>1</v>
      </c>
      <c r="H31" s="18"/>
    </row>
    <row r="32" spans="1:8" x14ac:dyDescent="0.3">
      <c r="A32" s="1" t="s">
        <v>15</v>
      </c>
      <c r="B32" s="1" t="s">
        <v>47</v>
      </c>
      <c r="C32" s="1">
        <v>6</v>
      </c>
      <c r="D32" s="1">
        <v>9784</v>
      </c>
      <c r="E32" s="1">
        <v>3</v>
      </c>
      <c r="H32" s="18"/>
    </row>
    <row r="33" spans="1:8" x14ac:dyDescent="0.3">
      <c r="A33" s="1" t="s">
        <v>15</v>
      </c>
      <c r="B33" s="1" t="s">
        <v>48</v>
      </c>
      <c r="C33" s="1">
        <v>6</v>
      </c>
      <c r="D33" s="1">
        <v>9556</v>
      </c>
      <c r="E33" s="1">
        <v>2</v>
      </c>
      <c r="H33" s="18"/>
    </row>
    <row r="34" spans="1:8" x14ac:dyDescent="0.3">
      <c r="A34" s="1" t="s">
        <v>15</v>
      </c>
      <c r="B34" s="1" t="s">
        <v>49</v>
      </c>
      <c r="C34" s="1">
        <v>2</v>
      </c>
      <c r="D34" s="1">
        <v>4471</v>
      </c>
      <c r="E34" s="1">
        <v>1</v>
      </c>
      <c r="H34" s="18"/>
    </row>
    <row r="35" spans="1:8" x14ac:dyDescent="0.3">
      <c r="A35" s="1" t="s">
        <v>15</v>
      </c>
      <c r="B35" s="1" t="s">
        <v>50</v>
      </c>
      <c r="C35" s="1">
        <v>3</v>
      </c>
      <c r="D35" s="1">
        <v>5984</v>
      </c>
      <c r="E35" s="1">
        <v>1</v>
      </c>
      <c r="H35" s="18"/>
    </row>
    <row r="36" spans="1:8" x14ac:dyDescent="0.3">
      <c r="A36" s="1" t="s">
        <v>15</v>
      </c>
      <c r="B36" s="1" t="s">
        <v>51</v>
      </c>
      <c r="C36" s="1">
        <v>3</v>
      </c>
      <c r="D36" s="1">
        <v>4684</v>
      </c>
      <c r="E36" s="1">
        <v>1</v>
      </c>
      <c r="H36" s="18"/>
    </row>
    <row r="37" spans="1:8" x14ac:dyDescent="0.3">
      <c r="A37" s="1" t="s">
        <v>15</v>
      </c>
      <c r="B37" s="1" t="s">
        <v>52</v>
      </c>
      <c r="C37" s="1">
        <v>4</v>
      </c>
      <c r="D37" s="1">
        <v>6929</v>
      </c>
      <c r="E37" s="1">
        <v>1</v>
      </c>
      <c r="H37" s="18"/>
    </row>
    <row r="38" spans="1:8" x14ac:dyDescent="0.3">
      <c r="A38" s="1" t="s">
        <v>15</v>
      </c>
      <c r="B38" s="1" t="s">
        <v>53</v>
      </c>
      <c r="C38" s="1">
        <v>8</v>
      </c>
      <c r="D38" s="1">
        <v>15602</v>
      </c>
      <c r="E38" s="1">
        <v>3</v>
      </c>
      <c r="H38" s="18"/>
    </row>
    <row r="39" spans="1:8" x14ac:dyDescent="0.3">
      <c r="A39" s="1" t="s">
        <v>15</v>
      </c>
      <c r="B39" s="1" t="s">
        <v>54</v>
      </c>
      <c r="C39" s="1">
        <v>7</v>
      </c>
      <c r="D39" s="1">
        <v>11631</v>
      </c>
      <c r="E39" s="1">
        <v>2</v>
      </c>
      <c r="H39" s="18"/>
    </row>
    <row r="40" spans="1:8" x14ac:dyDescent="0.3">
      <c r="A40" s="1" t="s">
        <v>15</v>
      </c>
      <c r="B40" s="1" t="s">
        <v>55</v>
      </c>
      <c r="C40" s="1">
        <v>3</v>
      </c>
      <c r="D40" s="1">
        <v>4915</v>
      </c>
      <c r="E40" s="1">
        <v>1</v>
      </c>
      <c r="H40" s="18"/>
    </row>
    <row r="41" spans="1:8" x14ac:dyDescent="0.3">
      <c r="A41" s="1" t="s">
        <v>15</v>
      </c>
      <c r="B41" s="1" t="s">
        <v>56</v>
      </c>
      <c r="C41" s="1">
        <v>5</v>
      </c>
      <c r="D41" s="1">
        <v>6586</v>
      </c>
      <c r="E41" s="1">
        <v>2</v>
      </c>
      <c r="H41" s="18"/>
    </row>
    <row r="42" spans="1:8" x14ac:dyDescent="0.3">
      <c r="A42" s="1" t="s">
        <v>15</v>
      </c>
      <c r="B42" s="1" t="s">
        <v>57</v>
      </c>
      <c r="C42" s="1">
        <v>4</v>
      </c>
      <c r="D42" s="1">
        <v>6655</v>
      </c>
      <c r="E42" s="1">
        <v>2</v>
      </c>
      <c r="H42" s="18"/>
    </row>
    <row r="43" spans="1:8" x14ac:dyDescent="0.3">
      <c r="A43" s="1" t="s">
        <v>15</v>
      </c>
      <c r="B43" s="1" t="s">
        <v>58</v>
      </c>
      <c r="C43" s="1">
        <v>1</v>
      </c>
      <c r="D43" s="1">
        <v>3935</v>
      </c>
      <c r="E43" s="1">
        <v>1</v>
      </c>
      <c r="H43" s="18"/>
    </row>
    <row r="44" spans="1:8" x14ac:dyDescent="0.3">
      <c r="A44" s="1" t="s">
        <v>15</v>
      </c>
      <c r="B44" s="1" t="s">
        <v>59</v>
      </c>
      <c r="C44" s="1">
        <v>4</v>
      </c>
      <c r="D44" s="1">
        <v>6761</v>
      </c>
      <c r="E44" s="1">
        <v>1</v>
      </c>
      <c r="H44" s="18"/>
    </row>
    <row r="45" spans="1:8" x14ac:dyDescent="0.3">
      <c r="A45" s="1" t="s">
        <v>15</v>
      </c>
      <c r="B45" s="1" t="s">
        <v>60</v>
      </c>
      <c r="C45" s="1">
        <v>3</v>
      </c>
      <c r="D45" s="1">
        <v>4504</v>
      </c>
      <c r="E45" s="1">
        <v>1</v>
      </c>
      <c r="H45" s="18"/>
    </row>
    <row r="46" spans="1:8" x14ac:dyDescent="0.3">
      <c r="A46" s="1" t="s">
        <v>15</v>
      </c>
      <c r="B46" s="1" t="s">
        <v>61</v>
      </c>
      <c r="C46" s="1">
        <v>0</v>
      </c>
      <c r="D46" s="1">
        <v>2453</v>
      </c>
      <c r="E46" s="1">
        <v>1</v>
      </c>
      <c r="H46" s="18"/>
    </row>
    <row r="47" spans="1:8" x14ac:dyDescent="0.3">
      <c r="A47" s="1" t="s">
        <v>15</v>
      </c>
      <c r="B47" s="1" t="s">
        <v>62</v>
      </c>
      <c r="C47" s="1">
        <v>3</v>
      </c>
      <c r="D47" s="1">
        <v>5188</v>
      </c>
      <c r="E47" s="1">
        <v>2</v>
      </c>
      <c r="H47" s="18"/>
    </row>
    <row r="48" spans="1:8" x14ac:dyDescent="0.3">
      <c r="A48" s="1" t="s">
        <v>15</v>
      </c>
      <c r="B48" s="1" t="s">
        <v>63</v>
      </c>
      <c r="C48" s="1">
        <v>3</v>
      </c>
      <c r="D48" s="1">
        <v>5010</v>
      </c>
      <c r="E48" s="1">
        <v>1</v>
      </c>
      <c r="H48" s="18"/>
    </row>
    <row r="49" spans="1:8" x14ac:dyDescent="0.3">
      <c r="A49" s="1" t="s">
        <v>15</v>
      </c>
      <c r="B49" s="1" t="s">
        <v>64</v>
      </c>
      <c r="C49" s="1">
        <v>7</v>
      </c>
      <c r="D49" s="1">
        <v>10828</v>
      </c>
      <c r="E49" s="1">
        <v>2</v>
      </c>
      <c r="H49" s="18"/>
    </row>
    <row r="50" spans="1:8" x14ac:dyDescent="0.3">
      <c r="A50" s="1" t="s">
        <v>15</v>
      </c>
      <c r="B50" s="1" t="s">
        <v>65</v>
      </c>
      <c r="C50" s="1">
        <v>5</v>
      </c>
      <c r="D50" s="1">
        <v>7548</v>
      </c>
      <c r="E50" s="1">
        <v>2</v>
      </c>
      <c r="H50" s="18"/>
    </row>
    <row r="51" spans="1:8" x14ac:dyDescent="0.3">
      <c r="A51" s="1" t="s">
        <v>15</v>
      </c>
      <c r="B51" s="1" t="s">
        <v>66</v>
      </c>
      <c r="C51" s="1">
        <v>4</v>
      </c>
      <c r="D51" s="1">
        <v>6325</v>
      </c>
      <c r="E51" s="1">
        <v>2</v>
      </c>
      <c r="H51" s="18"/>
    </row>
    <row r="52" spans="1:8" x14ac:dyDescent="0.3">
      <c r="A52" s="1" t="s">
        <v>15</v>
      </c>
      <c r="B52" s="1" t="s">
        <v>67</v>
      </c>
      <c r="C52" s="1">
        <v>4</v>
      </c>
      <c r="D52" s="1">
        <v>7222</v>
      </c>
      <c r="E52" s="1">
        <v>1</v>
      </c>
      <c r="H52" s="18"/>
    </row>
    <row r="53" spans="1:8" x14ac:dyDescent="0.3">
      <c r="A53" s="1" t="s">
        <v>15</v>
      </c>
      <c r="B53" s="1" t="s">
        <v>68</v>
      </c>
      <c r="C53" s="1">
        <v>2</v>
      </c>
      <c r="D53" s="1">
        <v>4339</v>
      </c>
      <c r="E53" s="1">
        <v>1</v>
      </c>
      <c r="H53" s="18"/>
    </row>
    <row r="54" spans="1:8" x14ac:dyDescent="0.3">
      <c r="A54" s="1" t="s">
        <v>15</v>
      </c>
      <c r="B54" s="1" t="s">
        <v>69</v>
      </c>
      <c r="C54" s="1">
        <v>5</v>
      </c>
      <c r="D54" s="1">
        <v>6742</v>
      </c>
      <c r="E54" s="1">
        <v>1</v>
      </c>
      <c r="H54" s="18"/>
    </row>
    <row r="55" spans="1:8" x14ac:dyDescent="0.3">
      <c r="A55" s="1" t="s">
        <v>15</v>
      </c>
      <c r="B55" s="1" t="s">
        <v>70</v>
      </c>
      <c r="C55" s="1">
        <v>4</v>
      </c>
      <c r="D55" s="1">
        <v>6301</v>
      </c>
      <c r="E55" s="1">
        <v>1</v>
      </c>
      <c r="H55" s="18"/>
    </row>
    <row r="56" spans="1:8" x14ac:dyDescent="0.3">
      <c r="A56" s="1" t="s">
        <v>15</v>
      </c>
      <c r="B56" s="1" t="s">
        <v>71</v>
      </c>
      <c r="C56" s="1">
        <v>1</v>
      </c>
      <c r="D56" s="1">
        <v>3353</v>
      </c>
      <c r="E56" s="1">
        <v>1</v>
      </c>
      <c r="H56" s="18"/>
    </row>
    <row r="57" spans="1:8" x14ac:dyDescent="0.3">
      <c r="A57" s="1" t="s">
        <v>15</v>
      </c>
      <c r="B57" s="1" t="s">
        <v>72</v>
      </c>
      <c r="C57" s="1">
        <v>6</v>
      </c>
      <c r="D57" s="1">
        <v>9196</v>
      </c>
      <c r="E57" s="1">
        <v>3</v>
      </c>
      <c r="H57" s="18"/>
    </row>
    <row r="58" spans="1:8" x14ac:dyDescent="0.3">
      <c r="A58" s="1" t="s">
        <v>15</v>
      </c>
      <c r="B58" s="1" t="s">
        <v>73</v>
      </c>
      <c r="C58" s="1">
        <v>4</v>
      </c>
      <c r="D58" s="1">
        <v>5484</v>
      </c>
      <c r="E58" s="1">
        <v>1</v>
      </c>
      <c r="H58" s="18"/>
    </row>
    <row r="59" spans="1:8" x14ac:dyDescent="0.3">
      <c r="A59" s="1" t="s">
        <v>15</v>
      </c>
      <c r="B59" s="1" t="s">
        <v>74</v>
      </c>
      <c r="C59" s="1">
        <v>4</v>
      </c>
      <c r="D59" s="1">
        <v>5512</v>
      </c>
      <c r="E59" s="1">
        <v>1</v>
      </c>
      <c r="H59" s="18"/>
    </row>
    <row r="60" spans="1:8" x14ac:dyDescent="0.3">
      <c r="A60" s="1" t="s">
        <v>15</v>
      </c>
      <c r="B60" s="1" t="s">
        <v>75</v>
      </c>
      <c r="C60" s="1">
        <v>0</v>
      </c>
      <c r="D60" s="1">
        <v>2813</v>
      </c>
      <c r="E60" s="1">
        <v>1</v>
      </c>
      <c r="H60" s="18"/>
    </row>
    <row r="61" spans="1:8" x14ac:dyDescent="0.3">
      <c r="A61" s="1" t="s">
        <v>15</v>
      </c>
      <c r="B61" s="1" t="s">
        <v>76</v>
      </c>
      <c r="C61" s="1">
        <v>6</v>
      </c>
      <c r="D61" s="1">
        <v>10729</v>
      </c>
      <c r="E61" s="1">
        <v>3</v>
      </c>
      <c r="H61" s="18"/>
    </row>
    <row r="62" spans="1:8" x14ac:dyDescent="0.3">
      <c r="A62" s="1" t="s">
        <v>15</v>
      </c>
      <c r="B62" s="1" t="s">
        <v>77</v>
      </c>
      <c r="C62" s="1">
        <v>4</v>
      </c>
      <c r="D62" s="1">
        <v>6910</v>
      </c>
      <c r="E62" s="1">
        <v>1</v>
      </c>
      <c r="H62" s="18"/>
    </row>
    <row r="63" spans="1:8" x14ac:dyDescent="0.3">
      <c r="A63" s="1" t="s">
        <v>15</v>
      </c>
      <c r="B63" s="1" t="s">
        <v>78</v>
      </c>
      <c r="C63" s="1">
        <v>6</v>
      </c>
      <c r="D63" s="1">
        <v>10689</v>
      </c>
      <c r="E63" s="1">
        <v>2</v>
      </c>
      <c r="H63" s="18"/>
    </row>
    <row r="64" spans="1:8" x14ac:dyDescent="0.3">
      <c r="A64" s="1" t="s">
        <v>15</v>
      </c>
      <c r="B64" s="1" t="s">
        <v>79</v>
      </c>
      <c r="C64" s="1">
        <v>1</v>
      </c>
      <c r="D64" s="1">
        <v>3421</v>
      </c>
      <c r="E64" s="1">
        <v>1</v>
      </c>
      <c r="H64" s="18"/>
    </row>
    <row r="65" spans="1:8" x14ac:dyDescent="0.3">
      <c r="A65" s="1" t="s">
        <v>15</v>
      </c>
      <c r="B65" s="1" t="s">
        <v>80</v>
      </c>
      <c r="C65" s="1">
        <v>0</v>
      </c>
      <c r="D65" s="1">
        <v>3005</v>
      </c>
      <c r="E65" s="1">
        <v>1</v>
      </c>
      <c r="H65" s="18"/>
    </row>
    <row r="66" spans="1:8" x14ac:dyDescent="0.3">
      <c r="A66" s="1" t="s">
        <v>15</v>
      </c>
      <c r="B66" s="1" t="s">
        <v>81</v>
      </c>
      <c r="C66" s="1">
        <v>3</v>
      </c>
      <c r="D66" s="1">
        <v>5373</v>
      </c>
      <c r="E66" s="1">
        <v>1</v>
      </c>
      <c r="H66" s="18"/>
    </row>
    <row r="67" spans="1:8" x14ac:dyDescent="0.3">
      <c r="A67" s="1" t="s">
        <v>15</v>
      </c>
      <c r="B67" s="1" t="s">
        <v>82</v>
      </c>
      <c r="C67" s="1">
        <v>6</v>
      </c>
      <c r="D67" s="1">
        <v>8785</v>
      </c>
      <c r="E67" s="1">
        <v>2</v>
      </c>
      <c r="H67" s="18"/>
    </row>
    <row r="68" spans="1:8" x14ac:dyDescent="0.3">
      <c r="A68" s="1" t="s">
        <v>15</v>
      </c>
      <c r="B68" s="1" t="s">
        <v>83</v>
      </c>
      <c r="C68" s="1">
        <v>2</v>
      </c>
      <c r="D68" s="1">
        <v>4616</v>
      </c>
      <c r="E68" s="1">
        <v>1</v>
      </c>
      <c r="H68" s="18"/>
    </row>
    <row r="69" spans="1:8" x14ac:dyDescent="0.3">
      <c r="A69" s="1" t="s">
        <v>15</v>
      </c>
      <c r="B69" s="1" t="s">
        <v>84</v>
      </c>
      <c r="C69" s="1">
        <v>1</v>
      </c>
      <c r="D69" s="1">
        <v>3034</v>
      </c>
      <c r="E69" s="1">
        <v>1</v>
      </c>
      <c r="H69" s="18"/>
    </row>
    <row r="70" spans="1:8" x14ac:dyDescent="0.3">
      <c r="A70" s="1" t="s">
        <v>15</v>
      </c>
      <c r="B70" s="1" t="s">
        <v>85</v>
      </c>
      <c r="C70" s="1">
        <v>0</v>
      </c>
      <c r="D70" s="1">
        <v>2833</v>
      </c>
      <c r="E70" s="1">
        <v>1</v>
      </c>
      <c r="H70" s="18"/>
    </row>
    <row r="71" spans="1:8" x14ac:dyDescent="0.3">
      <c r="A71" s="1" t="s">
        <v>15</v>
      </c>
      <c r="B71" s="1" t="s">
        <v>86</v>
      </c>
      <c r="C71" s="1">
        <v>3</v>
      </c>
      <c r="D71" s="1">
        <v>4673</v>
      </c>
      <c r="E71" s="1">
        <v>1</v>
      </c>
      <c r="H71" s="18"/>
    </row>
    <row r="72" spans="1:8" x14ac:dyDescent="0.3">
      <c r="A72" s="1" t="s">
        <v>15</v>
      </c>
      <c r="B72" s="1" t="s">
        <v>87</v>
      </c>
      <c r="C72" s="1">
        <v>4</v>
      </c>
      <c r="D72" s="1">
        <v>5830</v>
      </c>
      <c r="E72" s="1">
        <v>1</v>
      </c>
      <c r="H72" s="18"/>
    </row>
    <row r="73" spans="1:8" x14ac:dyDescent="0.3">
      <c r="A73" s="1" t="s">
        <v>15</v>
      </c>
      <c r="B73" s="1" t="s">
        <v>88</v>
      </c>
      <c r="C73" s="1">
        <v>0</v>
      </c>
      <c r="D73" s="1">
        <v>2381</v>
      </c>
      <c r="E73" s="1">
        <v>1</v>
      </c>
      <c r="H73" s="18"/>
    </row>
    <row r="74" spans="1:8" x14ac:dyDescent="0.3">
      <c r="A74" s="1" t="s">
        <v>15</v>
      </c>
      <c r="B74" s="1" t="s">
        <v>89</v>
      </c>
      <c r="C74" s="1">
        <v>3</v>
      </c>
      <c r="D74" s="1">
        <v>4473</v>
      </c>
      <c r="E74" s="1">
        <v>2</v>
      </c>
      <c r="H74" s="18"/>
    </row>
    <row r="75" spans="1:8" x14ac:dyDescent="0.3">
      <c r="A75" s="1" t="s">
        <v>15</v>
      </c>
      <c r="B75" s="1" t="s">
        <v>90</v>
      </c>
      <c r="C75" s="1">
        <v>4</v>
      </c>
      <c r="D75" s="1">
        <v>6497</v>
      </c>
      <c r="E75" s="1">
        <v>2</v>
      </c>
      <c r="H75" s="18"/>
    </row>
    <row r="76" spans="1:8" x14ac:dyDescent="0.3">
      <c r="A76" s="1" t="s">
        <v>15</v>
      </c>
      <c r="B76" s="1" t="s">
        <v>91</v>
      </c>
      <c r="C76" s="1">
        <v>3</v>
      </c>
      <c r="D76" s="1">
        <v>5835</v>
      </c>
      <c r="E76" s="1">
        <v>2</v>
      </c>
      <c r="H76" s="18"/>
    </row>
    <row r="77" spans="1:8" x14ac:dyDescent="0.3">
      <c r="A77" s="1" t="s">
        <v>15</v>
      </c>
      <c r="B77" s="1" t="s">
        <v>92</v>
      </c>
      <c r="C77" s="1">
        <v>8</v>
      </c>
      <c r="D77" s="1">
        <v>13754</v>
      </c>
      <c r="E77" s="1">
        <v>4</v>
      </c>
      <c r="H77" s="18"/>
    </row>
    <row r="78" spans="1:8" x14ac:dyDescent="0.3">
      <c r="A78" s="1" t="s">
        <v>15</v>
      </c>
      <c r="B78" s="1" t="s">
        <v>93</v>
      </c>
      <c r="C78" s="1">
        <v>0</v>
      </c>
      <c r="D78" s="1">
        <v>2482</v>
      </c>
      <c r="E78" s="1">
        <v>1</v>
      </c>
      <c r="H78" s="18"/>
    </row>
    <row r="79" spans="1:8" x14ac:dyDescent="0.3">
      <c r="A79" s="1" t="s">
        <v>15</v>
      </c>
      <c r="B79" s="1" t="s">
        <v>94</v>
      </c>
      <c r="C79" s="1">
        <v>0</v>
      </c>
      <c r="D79" s="1">
        <v>2358</v>
      </c>
      <c r="E79" s="1">
        <v>1</v>
      </c>
      <c r="H79" s="18"/>
    </row>
    <row r="80" spans="1:8" x14ac:dyDescent="0.3">
      <c r="A80" s="1" t="s">
        <v>15</v>
      </c>
      <c r="B80" s="1" t="s">
        <v>95</v>
      </c>
      <c r="C80" s="1">
        <v>3</v>
      </c>
      <c r="D80" s="1">
        <v>5534</v>
      </c>
      <c r="E80" s="1">
        <v>2</v>
      </c>
      <c r="H80" s="18"/>
    </row>
    <row r="81" spans="1:8" x14ac:dyDescent="0.3">
      <c r="A81" s="1" t="s">
        <v>15</v>
      </c>
      <c r="B81" s="1" t="s">
        <v>96</v>
      </c>
      <c r="C81" s="1">
        <v>4</v>
      </c>
      <c r="D81" s="1">
        <v>6644</v>
      </c>
      <c r="E81" s="1">
        <v>1</v>
      </c>
      <c r="H81" s="18"/>
    </row>
    <row r="82" spans="1:8" x14ac:dyDescent="0.3">
      <c r="A82" s="1" t="s">
        <v>15</v>
      </c>
      <c r="B82" s="1" t="s">
        <v>97</v>
      </c>
      <c r="C82" s="1">
        <v>1</v>
      </c>
      <c r="D82" s="1">
        <v>3964</v>
      </c>
      <c r="E82" s="1">
        <v>1</v>
      </c>
      <c r="H82" s="18"/>
    </row>
    <row r="83" spans="1:8" x14ac:dyDescent="0.3">
      <c r="A83" s="1" t="s">
        <v>15</v>
      </c>
      <c r="B83" s="1" t="s">
        <v>98</v>
      </c>
      <c r="C83" s="1">
        <v>7</v>
      </c>
      <c r="D83" s="1">
        <v>12281</v>
      </c>
      <c r="E83" s="1">
        <v>4</v>
      </c>
      <c r="H83" s="18"/>
    </row>
    <row r="84" spans="1:8" x14ac:dyDescent="0.3">
      <c r="A84" s="1" t="s">
        <v>15</v>
      </c>
      <c r="B84" s="1" t="s">
        <v>99</v>
      </c>
      <c r="C84" s="1">
        <v>3</v>
      </c>
      <c r="D84" s="1">
        <v>4780</v>
      </c>
      <c r="E84" s="1">
        <v>2</v>
      </c>
      <c r="H84" s="18"/>
    </row>
    <row r="85" spans="1:8" x14ac:dyDescent="0.3">
      <c r="A85" s="1" t="s">
        <v>15</v>
      </c>
      <c r="B85" s="1" t="s">
        <v>100</v>
      </c>
      <c r="C85" s="1">
        <v>3</v>
      </c>
      <c r="D85" s="1">
        <v>5396</v>
      </c>
      <c r="E85" s="1">
        <v>1</v>
      </c>
      <c r="H85" s="18"/>
    </row>
    <row r="86" spans="1:8" x14ac:dyDescent="0.3">
      <c r="A86" s="1" t="s">
        <v>15</v>
      </c>
      <c r="B86" s="1" t="s">
        <v>101</v>
      </c>
      <c r="C86" s="1">
        <v>3</v>
      </c>
      <c r="D86" s="1">
        <v>5205</v>
      </c>
      <c r="E86" s="1">
        <v>1</v>
      </c>
      <c r="H86" s="18"/>
    </row>
    <row r="87" spans="1:8" x14ac:dyDescent="0.3">
      <c r="A87" s="1" t="s">
        <v>15</v>
      </c>
      <c r="B87" s="1" t="s">
        <v>102</v>
      </c>
      <c r="C87" s="1">
        <v>3</v>
      </c>
      <c r="D87" s="1">
        <v>5293</v>
      </c>
      <c r="E87" s="1">
        <v>1</v>
      </c>
      <c r="H87" s="18"/>
    </row>
    <row r="88" spans="1:8" x14ac:dyDescent="0.3">
      <c r="A88" s="1" t="s">
        <v>15</v>
      </c>
      <c r="B88" s="1" t="s">
        <v>103</v>
      </c>
      <c r="C88" s="1">
        <v>7</v>
      </c>
      <c r="D88" s="1">
        <v>10348</v>
      </c>
      <c r="E88" s="1">
        <v>4</v>
      </c>
      <c r="H88" s="18"/>
    </row>
    <row r="89" spans="1:8" x14ac:dyDescent="0.3">
      <c r="A89" s="1" t="s">
        <v>15</v>
      </c>
      <c r="B89" s="1" t="s">
        <v>104</v>
      </c>
      <c r="C89" s="1">
        <v>1</v>
      </c>
      <c r="D89" s="1">
        <v>3176</v>
      </c>
      <c r="E89" s="1">
        <v>1</v>
      </c>
      <c r="H89" s="18"/>
    </row>
    <row r="90" spans="1:8" x14ac:dyDescent="0.3">
      <c r="A90" s="1" t="s">
        <v>15</v>
      </c>
      <c r="B90" s="1" t="s">
        <v>105</v>
      </c>
      <c r="C90" s="1">
        <v>5</v>
      </c>
      <c r="D90" s="1">
        <v>7545</v>
      </c>
      <c r="E90" s="1">
        <v>2</v>
      </c>
      <c r="H90" s="18"/>
    </row>
    <row r="91" spans="1:8" x14ac:dyDescent="0.3">
      <c r="A91" s="1" t="s">
        <v>15</v>
      </c>
      <c r="B91" s="1" t="s">
        <v>106</v>
      </c>
      <c r="C91" s="1">
        <v>1</v>
      </c>
      <c r="D91" s="1">
        <v>3792</v>
      </c>
      <c r="E91" s="1">
        <v>1</v>
      </c>
      <c r="H91" s="18"/>
    </row>
    <row r="92" spans="1:8" x14ac:dyDescent="0.3">
      <c r="A92" s="1" t="s">
        <v>15</v>
      </c>
      <c r="B92" s="1" t="s">
        <v>107</v>
      </c>
      <c r="C92" s="1">
        <v>3</v>
      </c>
      <c r="D92" s="1">
        <v>5602</v>
      </c>
      <c r="E92" s="1">
        <v>1</v>
      </c>
      <c r="H92" s="18"/>
    </row>
    <row r="93" spans="1:8" x14ac:dyDescent="0.3">
      <c r="A93" s="1" t="s">
        <v>15</v>
      </c>
      <c r="B93" s="1" t="s">
        <v>108</v>
      </c>
      <c r="C93" s="1">
        <v>1</v>
      </c>
      <c r="D93" s="1">
        <v>3149</v>
      </c>
      <c r="E93" s="1">
        <v>1</v>
      </c>
      <c r="H93" s="18"/>
    </row>
    <row r="94" spans="1:8" x14ac:dyDescent="0.3">
      <c r="A94" s="1" t="s">
        <v>15</v>
      </c>
      <c r="B94" s="1" t="s">
        <v>109</v>
      </c>
      <c r="C94" s="1">
        <v>4</v>
      </c>
      <c r="D94" s="1">
        <v>7067</v>
      </c>
      <c r="E94" s="1">
        <v>1</v>
      </c>
      <c r="H94" s="18"/>
    </row>
    <row r="95" spans="1:8" x14ac:dyDescent="0.3">
      <c r="A95" s="1" t="s">
        <v>15</v>
      </c>
      <c r="B95" s="1" t="s">
        <v>110</v>
      </c>
      <c r="C95" s="1">
        <v>1</v>
      </c>
      <c r="D95" s="1">
        <v>3083</v>
      </c>
      <c r="E95" s="1">
        <v>1</v>
      </c>
      <c r="H95" s="18"/>
    </row>
    <row r="96" spans="1:8" x14ac:dyDescent="0.3">
      <c r="A96" s="1" t="s">
        <v>15</v>
      </c>
      <c r="B96" s="1" t="s">
        <v>111</v>
      </c>
      <c r="C96" s="1">
        <v>2</v>
      </c>
      <c r="D96" s="1">
        <v>4302</v>
      </c>
      <c r="E96" s="1">
        <v>1</v>
      </c>
      <c r="H96" s="18"/>
    </row>
    <row r="97" spans="1:8" x14ac:dyDescent="0.3">
      <c r="A97" s="1" t="s">
        <v>15</v>
      </c>
      <c r="B97" s="1" t="s">
        <v>112</v>
      </c>
      <c r="C97" s="1">
        <v>0</v>
      </c>
      <c r="D97" s="1">
        <v>2736</v>
      </c>
      <c r="E97" s="1">
        <v>1</v>
      </c>
      <c r="H97" s="18"/>
    </row>
    <row r="98" spans="1:8" x14ac:dyDescent="0.3">
      <c r="A98" s="1" t="s">
        <v>15</v>
      </c>
      <c r="B98" s="1" t="s">
        <v>113</v>
      </c>
      <c r="C98" s="1">
        <v>2</v>
      </c>
      <c r="D98" s="1">
        <v>3730</v>
      </c>
      <c r="E98" s="1">
        <v>1</v>
      </c>
      <c r="H98" s="18"/>
    </row>
    <row r="99" spans="1:8" x14ac:dyDescent="0.3">
      <c r="A99" s="1" t="s">
        <v>15</v>
      </c>
      <c r="B99" s="1" t="s">
        <v>114</v>
      </c>
      <c r="C99" s="1">
        <v>3</v>
      </c>
      <c r="D99" s="1">
        <v>5083</v>
      </c>
      <c r="E99" s="1">
        <v>1</v>
      </c>
      <c r="H99" s="18"/>
    </row>
    <row r="100" spans="1:8" x14ac:dyDescent="0.3">
      <c r="A100" s="1" t="s">
        <v>15</v>
      </c>
      <c r="B100" s="1" t="s">
        <v>115</v>
      </c>
      <c r="C100" s="1">
        <v>0</v>
      </c>
      <c r="D100" s="1">
        <v>2620</v>
      </c>
      <c r="E100" s="1">
        <v>1</v>
      </c>
      <c r="H100" s="18"/>
    </row>
    <row r="101" spans="1:8" x14ac:dyDescent="0.3">
      <c r="A101" s="1" t="s">
        <v>15</v>
      </c>
      <c r="B101" s="1" t="s">
        <v>116</v>
      </c>
      <c r="C101" s="1">
        <v>4</v>
      </c>
      <c r="D101" s="1">
        <v>5715</v>
      </c>
      <c r="E101" s="1">
        <v>1</v>
      </c>
      <c r="H101" s="18"/>
    </row>
    <row r="102" spans="1:8" x14ac:dyDescent="0.3">
      <c r="A102" s="1" t="s">
        <v>15</v>
      </c>
      <c r="B102" s="1" t="s">
        <v>117</v>
      </c>
      <c r="C102" s="1">
        <v>5</v>
      </c>
      <c r="D102" s="1">
        <v>6869</v>
      </c>
      <c r="E102" s="1">
        <v>1</v>
      </c>
      <c r="H102" s="18"/>
    </row>
    <row r="103" spans="1:8" x14ac:dyDescent="0.3">
      <c r="A103" s="1" t="s">
        <v>15</v>
      </c>
      <c r="B103" s="1" t="s">
        <v>118</v>
      </c>
      <c r="C103" s="1">
        <v>5</v>
      </c>
      <c r="D103" s="1">
        <v>8869</v>
      </c>
      <c r="E103" s="1">
        <v>1</v>
      </c>
      <c r="H103" s="18"/>
    </row>
    <row r="104" spans="1:8" x14ac:dyDescent="0.3">
      <c r="A104" s="1" t="s">
        <v>15</v>
      </c>
      <c r="B104" s="1" t="s">
        <v>119</v>
      </c>
      <c r="C104" s="1">
        <v>6</v>
      </c>
      <c r="D104" s="1">
        <v>8869</v>
      </c>
      <c r="E104" s="1">
        <v>2</v>
      </c>
      <c r="H104" s="18"/>
    </row>
    <row r="105" spans="1:8" x14ac:dyDescent="0.3">
      <c r="A105" s="1" t="s">
        <v>15</v>
      </c>
      <c r="B105" s="1" t="s">
        <v>120</v>
      </c>
      <c r="C105" s="1">
        <v>6</v>
      </c>
      <c r="D105" s="1">
        <v>8182</v>
      </c>
      <c r="E105" s="1">
        <v>2</v>
      </c>
      <c r="H105" s="18"/>
    </row>
    <row r="106" spans="1:8" x14ac:dyDescent="0.3">
      <c r="A106" s="1" t="s">
        <v>15</v>
      </c>
      <c r="B106" s="1" t="s">
        <v>121</v>
      </c>
      <c r="C106" s="1">
        <v>5</v>
      </c>
      <c r="D106" s="1">
        <v>7026</v>
      </c>
      <c r="E106" s="1">
        <v>1</v>
      </c>
      <c r="H106" s="18"/>
    </row>
    <row r="107" spans="1:8" x14ac:dyDescent="0.3">
      <c r="A107" s="1" t="s">
        <v>15</v>
      </c>
      <c r="B107" s="1" t="s">
        <v>122</v>
      </c>
      <c r="C107" s="1">
        <v>6</v>
      </c>
      <c r="D107" s="1">
        <v>9855</v>
      </c>
      <c r="E107" s="1">
        <v>2</v>
      </c>
      <c r="H107" s="18"/>
    </row>
    <row r="108" spans="1:8" x14ac:dyDescent="0.3">
      <c r="A108" s="1" t="s">
        <v>15</v>
      </c>
      <c r="B108" s="1" t="s">
        <v>123</v>
      </c>
      <c r="C108" s="1">
        <v>1</v>
      </c>
      <c r="D108" s="1">
        <v>3756</v>
      </c>
      <c r="E108" s="1">
        <v>1</v>
      </c>
      <c r="H108" s="18"/>
    </row>
    <row r="109" spans="1:8" x14ac:dyDescent="0.3">
      <c r="A109" s="1" t="s">
        <v>15</v>
      </c>
      <c r="B109" s="1" t="s">
        <v>124</v>
      </c>
      <c r="C109" s="1">
        <v>0</v>
      </c>
      <c r="D109" s="1">
        <v>2944</v>
      </c>
      <c r="E109" s="1">
        <v>1</v>
      </c>
      <c r="H109" s="18"/>
    </row>
    <row r="110" spans="1:8" x14ac:dyDescent="0.3">
      <c r="A110" s="1" t="s">
        <v>15</v>
      </c>
      <c r="B110" s="1" t="s">
        <v>125</v>
      </c>
      <c r="C110" s="1">
        <v>5</v>
      </c>
      <c r="D110" s="1">
        <v>8231</v>
      </c>
      <c r="E110" s="1">
        <v>2</v>
      </c>
      <c r="H110" s="18"/>
    </row>
    <row r="111" spans="1:8" x14ac:dyDescent="0.3">
      <c r="A111" s="1" t="s">
        <v>15</v>
      </c>
      <c r="B111" s="1" t="s">
        <v>126</v>
      </c>
      <c r="C111" s="1">
        <v>3</v>
      </c>
      <c r="D111" s="1">
        <v>4460</v>
      </c>
      <c r="E111" s="1">
        <v>1</v>
      </c>
      <c r="H111" s="18"/>
    </row>
    <row r="112" spans="1:8" x14ac:dyDescent="0.3">
      <c r="A112" s="1" t="s">
        <v>15</v>
      </c>
      <c r="B112" s="1" t="s">
        <v>127</v>
      </c>
      <c r="C112" s="1">
        <v>7</v>
      </c>
      <c r="D112" s="1">
        <v>13102</v>
      </c>
      <c r="E112" s="1">
        <v>2</v>
      </c>
      <c r="H112" s="18"/>
    </row>
    <row r="113" spans="1:8" x14ac:dyDescent="0.3">
      <c r="A113" s="1" t="s">
        <v>15</v>
      </c>
      <c r="B113" s="1" t="s">
        <v>128</v>
      </c>
      <c r="C113" s="1">
        <v>1</v>
      </c>
      <c r="D113" s="1">
        <v>3231</v>
      </c>
      <c r="E113" s="1">
        <v>1</v>
      </c>
      <c r="H113" s="18"/>
    </row>
    <row r="114" spans="1:8" x14ac:dyDescent="0.3">
      <c r="A114" s="1" t="s">
        <v>15</v>
      </c>
      <c r="B114" s="1" t="s">
        <v>129</v>
      </c>
      <c r="C114" s="1">
        <v>1</v>
      </c>
      <c r="D114" s="1">
        <v>3039</v>
      </c>
      <c r="E114" s="1">
        <v>1</v>
      </c>
      <c r="H114" s="18"/>
    </row>
    <row r="115" spans="1:8" x14ac:dyDescent="0.3">
      <c r="A115" s="1" t="s">
        <v>15</v>
      </c>
      <c r="B115" s="1" t="s">
        <v>130</v>
      </c>
      <c r="C115" s="1">
        <v>0</v>
      </c>
      <c r="D115" s="1">
        <v>2672</v>
      </c>
      <c r="E115" s="1">
        <v>1</v>
      </c>
      <c r="H115" s="18"/>
    </row>
    <row r="116" spans="1:8" x14ac:dyDescent="0.3">
      <c r="A116" s="1" t="s">
        <v>15</v>
      </c>
      <c r="B116" s="1" t="s">
        <v>131</v>
      </c>
      <c r="C116" s="1">
        <v>3</v>
      </c>
      <c r="D116" s="1">
        <v>5676</v>
      </c>
      <c r="E116" s="1">
        <v>2</v>
      </c>
      <c r="H116" s="18"/>
    </row>
    <row r="117" spans="1:8" x14ac:dyDescent="0.3">
      <c r="A117" s="1" t="s">
        <v>15</v>
      </c>
      <c r="B117" s="1" t="s">
        <v>132</v>
      </c>
      <c r="C117" s="1">
        <v>6</v>
      </c>
      <c r="D117" s="1">
        <v>8203</v>
      </c>
      <c r="E117" s="1">
        <v>3</v>
      </c>
      <c r="H117" s="18"/>
    </row>
    <row r="118" spans="1:8" x14ac:dyDescent="0.3">
      <c r="A118" s="1" t="s">
        <v>15</v>
      </c>
      <c r="B118" s="1" t="s">
        <v>133</v>
      </c>
      <c r="C118" s="1">
        <v>5</v>
      </c>
      <c r="D118" s="1">
        <v>7234</v>
      </c>
      <c r="E118" s="1">
        <v>1</v>
      </c>
      <c r="H118" s="18"/>
    </row>
    <row r="119" spans="1:8" x14ac:dyDescent="0.3">
      <c r="A119" s="1" t="s">
        <v>15</v>
      </c>
      <c r="B119" s="1" t="s">
        <v>134</v>
      </c>
      <c r="C119" s="1">
        <v>6</v>
      </c>
      <c r="D119" s="1">
        <v>10264</v>
      </c>
      <c r="E119" s="1">
        <v>2</v>
      </c>
      <c r="H119" s="18"/>
    </row>
    <row r="120" spans="1:8" x14ac:dyDescent="0.3">
      <c r="A120" s="1" t="s">
        <v>15</v>
      </c>
      <c r="B120" s="1" t="s">
        <v>135</v>
      </c>
      <c r="C120" s="1">
        <v>3</v>
      </c>
      <c r="D120" s="1">
        <v>4778</v>
      </c>
      <c r="E120" s="1">
        <v>1</v>
      </c>
      <c r="H120" s="18"/>
    </row>
    <row r="121" spans="1:8" x14ac:dyDescent="0.3">
      <c r="A121" s="1" t="s">
        <v>15</v>
      </c>
      <c r="B121" s="1" t="s">
        <v>136</v>
      </c>
      <c r="C121" s="1">
        <v>3</v>
      </c>
      <c r="D121" s="1">
        <v>5382</v>
      </c>
      <c r="E121" s="1">
        <v>2</v>
      </c>
      <c r="H121" s="18"/>
    </row>
    <row r="122" spans="1:8" x14ac:dyDescent="0.3">
      <c r="A122" s="1" t="s">
        <v>15</v>
      </c>
      <c r="B122" s="1" t="s">
        <v>137</v>
      </c>
      <c r="C122" s="1">
        <v>0</v>
      </c>
      <c r="D122" s="1">
        <v>3154</v>
      </c>
      <c r="E122" s="1">
        <v>1</v>
      </c>
      <c r="H122" s="18"/>
    </row>
    <row r="123" spans="1:8" x14ac:dyDescent="0.3">
      <c r="A123" s="1" t="s">
        <v>15</v>
      </c>
      <c r="B123" s="1" t="s">
        <v>138</v>
      </c>
      <c r="C123" s="1">
        <v>5</v>
      </c>
      <c r="D123" s="1">
        <v>7740</v>
      </c>
      <c r="E123" s="1">
        <v>3</v>
      </c>
      <c r="H123" s="18"/>
    </row>
    <row r="124" spans="1:8" x14ac:dyDescent="0.3">
      <c r="A124" s="1" t="s">
        <v>15</v>
      </c>
      <c r="B124" s="1" t="s">
        <v>139</v>
      </c>
      <c r="C124" s="1">
        <v>5</v>
      </c>
      <c r="D124" s="1">
        <v>7941</v>
      </c>
      <c r="E124" s="1">
        <v>3</v>
      </c>
      <c r="H124" s="18"/>
    </row>
    <row r="125" spans="1:8" x14ac:dyDescent="0.3">
      <c r="A125" s="1" t="s">
        <v>15</v>
      </c>
      <c r="B125" s="1" t="s">
        <v>140</v>
      </c>
      <c r="C125" s="1">
        <v>3</v>
      </c>
      <c r="D125" s="1">
        <v>5931</v>
      </c>
      <c r="E125" s="1">
        <v>1</v>
      </c>
      <c r="H125" s="18"/>
    </row>
    <row r="126" spans="1:8" x14ac:dyDescent="0.3">
      <c r="A126" s="1" t="s">
        <v>15</v>
      </c>
      <c r="B126" s="1" t="s">
        <v>141</v>
      </c>
      <c r="C126" s="1">
        <v>2</v>
      </c>
      <c r="D126" s="1">
        <v>4487</v>
      </c>
      <c r="E126" s="1">
        <v>1</v>
      </c>
      <c r="H126" s="18"/>
    </row>
    <row r="127" spans="1:8" x14ac:dyDescent="0.3">
      <c r="A127" s="1" t="s">
        <v>15</v>
      </c>
      <c r="B127" s="1" t="s">
        <v>142</v>
      </c>
      <c r="C127" s="1">
        <v>0</v>
      </c>
      <c r="D127" s="1">
        <v>3203</v>
      </c>
      <c r="E127" s="1">
        <v>1</v>
      </c>
      <c r="H127" s="18"/>
    </row>
    <row r="128" spans="1:8" x14ac:dyDescent="0.3">
      <c r="A128" s="1" t="s">
        <v>15</v>
      </c>
      <c r="B128" s="1" t="s">
        <v>143</v>
      </c>
      <c r="C128" s="1">
        <v>4</v>
      </c>
      <c r="D128" s="1">
        <v>6285</v>
      </c>
      <c r="E128" s="1">
        <v>2</v>
      </c>
      <c r="H128" s="18"/>
    </row>
    <row r="129" spans="1:8" x14ac:dyDescent="0.3">
      <c r="A129" s="1" t="s">
        <v>15</v>
      </c>
      <c r="B129" s="1" t="s">
        <v>144</v>
      </c>
      <c r="C129" s="1">
        <v>3</v>
      </c>
      <c r="D129" s="1">
        <v>4949</v>
      </c>
      <c r="E129" s="1">
        <v>1</v>
      </c>
      <c r="H129" s="18"/>
    </row>
    <row r="130" spans="1:8" x14ac:dyDescent="0.3">
      <c r="A130" s="1" t="s">
        <v>15</v>
      </c>
      <c r="B130" s="1" t="s">
        <v>145</v>
      </c>
      <c r="C130" s="1">
        <v>0</v>
      </c>
      <c r="D130" s="1">
        <v>3272</v>
      </c>
      <c r="E130" s="1">
        <v>1</v>
      </c>
      <c r="H130" s="18"/>
    </row>
    <row r="131" spans="1:8" x14ac:dyDescent="0.3">
      <c r="A131" s="1" t="s">
        <v>15</v>
      </c>
      <c r="B131" s="1" t="s">
        <v>146</v>
      </c>
      <c r="C131" s="1">
        <v>5</v>
      </c>
      <c r="D131" s="1">
        <v>6850</v>
      </c>
      <c r="E131" s="1">
        <v>2</v>
      </c>
      <c r="H131" s="18"/>
    </row>
    <row r="132" spans="1:8" x14ac:dyDescent="0.3">
      <c r="A132" s="1" t="s">
        <v>15</v>
      </c>
      <c r="B132" s="1" t="s">
        <v>147</v>
      </c>
      <c r="C132" s="1">
        <v>1</v>
      </c>
      <c r="D132" s="1">
        <v>3591</v>
      </c>
      <c r="E132" s="1">
        <v>1</v>
      </c>
      <c r="H132" s="18"/>
    </row>
    <row r="133" spans="1:8" x14ac:dyDescent="0.3">
      <c r="A133" s="1" t="s">
        <v>15</v>
      </c>
      <c r="B133" s="1" t="s">
        <v>148</v>
      </c>
      <c r="C133" s="1">
        <v>4</v>
      </c>
      <c r="D133" s="1">
        <v>5594</v>
      </c>
      <c r="E133" s="1">
        <v>2</v>
      </c>
      <c r="H133" s="18"/>
    </row>
    <row r="134" spans="1:8" x14ac:dyDescent="0.3">
      <c r="A134" s="1" t="s">
        <v>15</v>
      </c>
      <c r="B134" s="1" t="s">
        <v>149</v>
      </c>
      <c r="C134" s="1">
        <v>3</v>
      </c>
      <c r="D134" s="1">
        <v>5794</v>
      </c>
      <c r="E134" s="1">
        <v>2</v>
      </c>
      <c r="H134" s="18"/>
    </row>
    <row r="135" spans="1:8" x14ac:dyDescent="0.3">
      <c r="A135" s="1" t="s">
        <v>15</v>
      </c>
      <c r="B135" s="1" t="s">
        <v>150</v>
      </c>
      <c r="C135" s="1">
        <v>3</v>
      </c>
      <c r="D135" s="1">
        <v>4594</v>
      </c>
      <c r="E135" s="1">
        <v>2</v>
      </c>
      <c r="H135" s="18"/>
    </row>
    <row r="136" spans="1:8" x14ac:dyDescent="0.3">
      <c r="A136" s="1" t="s">
        <v>15</v>
      </c>
      <c r="B136" s="1" t="s">
        <v>151</v>
      </c>
      <c r="C136" s="1">
        <v>6</v>
      </c>
      <c r="D136" s="1">
        <v>9161</v>
      </c>
      <c r="E136" s="1">
        <v>3</v>
      </c>
      <c r="H136" s="18"/>
    </row>
    <row r="137" spans="1:8" x14ac:dyDescent="0.3">
      <c r="A137" s="1" t="s">
        <v>15</v>
      </c>
      <c r="B137" s="1" t="s">
        <v>152</v>
      </c>
      <c r="C137" s="1">
        <v>6</v>
      </c>
      <c r="D137" s="1">
        <v>9609</v>
      </c>
      <c r="E137" s="1">
        <v>2</v>
      </c>
      <c r="H137" s="18"/>
    </row>
    <row r="138" spans="1:8" x14ac:dyDescent="0.3">
      <c r="A138" s="1" t="s">
        <v>15</v>
      </c>
      <c r="B138" s="1" t="s">
        <v>153</v>
      </c>
      <c r="C138" s="1">
        <v>6</v>
      </c>
      <c r="D138" s="1">
        <v>9808</v>
      </c>
      <c r="E138" s="1">
        <v>2</v>
      </c>
      <c r="H138" s="18"/>
    </row>
    <row r="139" spans="1:8" x14ac:dyDescent="0.3">
      <c r="A139" s="1" t="s">
        <v>15</v>
      </c>
      <c r="B139" s="1" t="s">
        <v>154</v>
      </c>
      <c r="C139" s="1">
        <v>2</v>
      </c>
      <c r="D139" s="1">
        <v>4007</v>
      </c>
      <c r="E139" s="1">
        <v>1</v>
      </c>
      <c r="H139" s="18"/>
    </row>
    <row r="140" spans="1:8" x14ac:dyDescent="0.3">
      <c r="A140" s="1" t="s">
        <v>15</v>
      </c>
      <c r="B140" s="1" t="s">
        <v>155</v>
      </c>
      <c r="C140" s="1">
        <v>4</v>
      </c>
      <c r="D140" s="1">
        <v>5413</v>
      </c>
      <c r="E140" s="1">
        <v>1</v>
      </c>
      <c r="H140" s="18"/>
    </row>
    <row r="141" spans="1:8" x14ac:dyDescent="0.3">
      <c r="A141" s="1" t="s">
        <v>15</v>
      </c>
      <c r="B141" s="1" t="s">
        <v>156</v>
      </c>
      <c r="C141" s="1">
        <v>6</v>
      </c>
      <c r="D141" s="1">
        <v>8662</v>
      </c>
      <c r="E141" s="1">
        <v>3</v>
      </c>
      <c r="H141" s="18"/>
    </row>
    <row r="142" spans="1:8" x14ac:dyDescent="0.3">
      <c r="A142" s="1" t="s">
        <v>15</v>
      </c>
      <c r="B142" s="1" t="s">
        <v>157</v>
      </c>
      <c r="C142" s="1">
        <v>1</v>
      </c>
      <c r="D142" s="1">
        <v>3206</v>
      </c>
      <c r="E142" s="1">
        <v>1</v>
      </c>
      <c r="H142" s="18"/>
    </row>
    <row r="143" spans="1:8" x14ac:dyDescent="0.3">
      <c r="A143" s="1" t="s">
        <v>15</v>
      </c>
      <c r="B143" s="1" t="s">
        <v>158</v>
      </c>
      <c r="C143" s="1">
        <v>5</v>
      </c>
      <c r="D143" s="1">
        <v>8762</v>
      </c>
      <c r="E143" s="1">
        <v>1</v>
      </c>
      <c r="H143" s="18"/>
    </row>
    <row r="144" spans="1:8" x14ac:dyDescent="0.3">
      <c r="A144" s="1" t="s">
        <v>15</v>
      </c>
      <c r="B144" s="1" t="s">
        <v>159</v>
      </c>
      <c r="C144" s="1">
        <v>4</v>
      </c>
      <c r="D144" s="1">
        <v>6649</v>
      </c>
      <c r="E144" s="1">
        <v>1</v>
      </c>
      <c r="H144" s="18"/>
    </row>
    <row r="145" spans="1:8" x14ac:dyDescent="0.3">
      <c r="A145" s="1" t="s">
        <v>15</v>
      </c>
      <c r="B145" s="1" t="s">
        <v>160</v>
      </c>
      <c r="C145" s="1">
        <v>1</v>
      </c>
      <c r="D145" s="1">
        <v>3517</v>
      </c>
      <c r="E145" s="1">
        <v>1</v>
      </c>
      <c r="H145" s="18"/>
    </row>
    <row r="146" spans="1:8" x14ac:dyDescent="0.3">
      <c r="A146" s="1" t="s">
        <v>15</v>
      </c>
      <c r="B146" s="1" t="s">
        <v>161</v>
      </c>
      <c r="C146" s="1">
        <v>1</v>
      </c>
      <c r="D146" s="1">
        <v>3296</v>
      </c>
      <c r="E146" s="1">
        <v>1</v>
      </c>
      <c r="H146" s="18"/>
    </row>
    <row r="147" spans="1:8" x14ac:dyDescent="0.3">
      <c r="A147" s="1" t="s">
        <v>15</v>
      </c>
      <c r="B147" s="1" t="s">
        <v>162</v>
      </c>
      <c r="C147" s="1">
        <v>5</v>
      </c>
      <c r="D147" s="1">
        <v>6749</v>
      </c>
      <c r="E147" s="1">
        <v>1</v>
      </c>
      <c r="H147" s="18"/>
    </row>
    <row r="148" spans="1:8" x14ac:dyDescent="0.3">
      <c r="A148" s="1" t="s">
        <v>15</v>
      </c>
      <c r="B148" s="1" t="s">
        <v>163</v>
      </c>
      <c r="C148" s="1">
        <v>8</v>
      </c>
      <c r="D148" s="1">
        <v>13508</v>
      </c>
      <c r="E148" s="1">
        <v>2</v>
      </c>
      <c r="H148" s="18"/>
    </row>
    <row r="149" spans="1:8" x14ac:dyDescent="0.3">
      <c r="A149" s="1" t="s">
        <v>15</v>
      </c>
      <c r="B149" s="1" t="s">
        <v>164</v>
      </c>
      <c r="C149" s="1">
        <v>5</v>
      </c>
      <c r="D149" s="1">
        <v>7145</v>
      </c>
      <c r="E149" s="1">
        <v>3</v>
      </c>
      <c r="H149" s="18"/>
    </row>
    <row r="150" spans="1:8" x14ac:dyDescent="0.3">
      <c r="A150" s="1" t="s">
        <v>15</v>
      </c>
      <c r="B150" s="1" t="s">
        <v>165</v>
      </c>
      <c r="C150" s="1">
        <v>5</v>
      </c>
      <c r="D150" s="1">
        <v>8027</v>
      </c>
      <c r="E150" s="1">
        <v>2</v>
      </c>
      <c r="H150" s="18"/>
    </row>
    <row r="151" spans="1:8" x14ac:dyDescent="0.3">
      <c r="A151" s="1" t="s">
        <v>15</v>
      </c>
      <c r="B151" s="1" t="s">
        <v>166</v>
      </c>
      <c r="C151" s="1">
        <v>4</v>
      </c>
      <c r="D151" s="1">
        <v>6029</v>
      </c>
      <c r="E151" s="1">
        <v>1</v>
      </c>
      <c r="H151" s="18"/>
    </row>
    <row r="152" spans="1:8" x14ac:dyDescent="0.3">
      <c r="A152" s="1" t="s">
        <v>15</v>
      </c>
      <c r="B152" s="1" t="s">
        <v>167</v>
      </c>
      <c r="C152" s="1">
        <v>4</v>
      </c>
      <c r="D152" s="1">
        <v>6714</v>
      </c>
      <c r="E152" s="1">
        <v>1</v>
      </c>
      <c r="H152" s="18"/>
    </row>
    <row r="153" spans="1:8" x14ac:dyDescent="0.3">
      <c r="A153" s="1" t="s">
        <v>15</v>
      </c>
      <c r="B153" s="1" t="s">
        <v>168</v>
      </c>
      <c r="C153" s="1">
        <v>4</v>
      </c>
      <c r="D153" s="1">
        <v>6018</v>
      </c>
      <c r="E153" s="1">
        <v>1</v>
      </c>
      <c r="H153" s="18"/>
    </row>
    <row r="154" spans="1:8" x14ac:dyDescent="0.3">
      <c r="A154" s="1" t="s">
        <v>15</v>
      </c>
      <c r="B154" s="1" t="s">
        <v>169</v>
      </c>
      <c r="C154" s="1">
        <v>6</v>
      </c>
      <c r="D154" s="1">
        <v>9912</v>
      </c>
      <c r="E154" s="1">
        <v>2</v>
      </c>
      <c r="H154" s="18"/>
    </row>
    <row r="155" spans="1:8" x14ac:dyDescent="0.3">
      <c r="A155" s="1" t="s">
        <v>15</v>
      </c>
      <c r="B155" s="1" t="s">
        <v>170</v>
      </c>
      <c r="C155" s="1">
        <v>4</v>
      </c>
      <c r="D155" s="1">
        <v>6767</v>
      </c>
      <c r="E155" s="1">
        <v>1</v>
      </c>
      <c r="H155" s="18"/>
    </row>
    <row r="156" spans="1:8" x14ac:dyDescent="0.3">
      <c r="A156" s="1" t="s">
        <v>15</v>
      </c>
      <c r="B156" s="1" t="s">
        <v>171</v>
      </c>
      <c r="C156" s="1">
        <v>4</v>
      </c>
      <c r="D156" s="1">
        <v>6802</v>
      </c>
      <c r="E156" s="1">
        <v>2</v>
      </c>
      <c r="H156" s="18"/>
    </row>
    <row r="157" spans="1:8" x14ac:dyDescent="0.3">
      <c r="A157" s="1" t="s">
        <v>15</v>
      </c>
      <c r="B157" s="1" t="s">
        <v>172</v>
      </c>
      <c r="C157" s="1">
        <v>4</v>
      </c>
      <c r="D157" s="1">
        <v>5605</v>
      </c>
      <c r="E157" s="1">
        <v>2</v>
      </c>
      <c r="H157" s="18"/>
    </row>
    <row r="158" spans="1:8" x14ac:dyDescent="0.3">
      <c r="A158" s="1" t="s">
        <v>15</v>
      </c>
      <c r="B158" s="1" t="s">
        <v>173</v>
      </c>
      <c r="C158" s="1">
        <v>3</v>
      </c>
      <c r="D158" s="1">
        <v>5147</v>
      </c>
      <c r="E158" s="1">
        <v>1</v>
      </c>
      <c r="H158" s="18"/>
    </row>
    <row r="159" spans="1:8" x14ac:dyDescent="0.3">
      <c r="A159" s="1" t="s">
        <v>15</v>
      </c>
      <c r="B159" s="1" t="s">
        <v>174</v>
      </c>
      <c r="C159" s="1">
        <v>2</v>
      </c>
      <c r="D159" s="1">
        <v>3980</v>
      </c>
      <c r="E159" s="1">
        <v>1</v>
      </c>
      <c r="H159" s="18"/>
    </row>
    <row r="160" spans="1:8" x14ac:dyDescent="0.3">
      <c r="A160" s="1" t="s">
        <v>15</v>
      </c>
      <c r="B160" s="1" t="s">
        <v>175</v>
      </c>
      <c r="C160" s="1">
        <v>6</v>
      </c>
      <c r="D160" s="1">
        <v>9224</v>
      </c>
      <c r="E160" s="1">
        <v>2</v>
      </c>
      <c r="H160" s="18"/>
    </row>
    <row r="161" spans="1:8" x14ac:dyDescent="0.3">
      <c r="A161" s="1" t="s">
        <v>15</v>
      </c>
      <c r="B161" s="1" t="s">
        <v>176</v>
      </c>
      <c r="C161" s="1">
        <v>2</v>
      </c>
      <c r="D161" s="1">
        <v>4490</v>
      </c>
      <c r="E161" s="1">
        <v>1</v>
      </c>
      <c r="H161" s="18"/>
    </row>
    <row r="162" spans="1:8" x14ac:dyDescent="0.3">
      <c r="A162" s="1" t="s">
        <v>15</v>
      </c>
      <c r="B162" s="1" t="s">
        <v>177</v>
      </c>
      <c r="C162" s="1">
        <v>4</v>
      </c>
      <c r="D162" s="1">
        <v>6039</v>
      </c>
      <c r="E162" s="1">
        <v>1</v>
      </c>
      <c r="H162" s="18"/>
    </row>
    <row r="163" spans="1:8" x14ac:dyDescent="0.3">
      <c r="A163" s="1" t="s">
        <v>15</v>
      </c>
      <c r="B163" s="1" t="s">
        <v>178</v>
      </c>
      <c r="C163" s="1">
        <v>5</v>
      </c>
      <c r="D163" s="1">
        <v>6694</v>
      </c>
      <c r="E163" s="1">
        <v>3</v>
      </c>
      <c r="H163" s="18"/>
    </row>
    <row r="164" spans="1:8" x14ac:dyDescent="0.3">
      <c r="A164" s="1" t="s">
        <v>15</v>
      </c>
      <c r="B164" s="1" t="s">
        <v>179</v>
      </c>
      <c r="C164" s="1">
        <v>3</v>
      </c>
      <c r="D164" s="1">
        <v>5830</v>
      </c>
      <c r="E164" s="1">
        <v>1</v>
      </c>
      <c r="H164" s="18"/>
    </row>
    <row r="165" spans="1:8" x14ac:dyDescent="0.3">
      <c r="A165" s="1" t="s">
        <v>15</v>
      </c>
      <c r="B165" s="1" t="s">
        <v>180</v>
      </c>
      <c r="C165" s="1">
        <v>6</v>
      </c>
      <c r="D165" s="1">
        <v>10688</v>
      </c>
      <c r="E165" s="1">
        <v>3</v>
      </c>
      <c r="H165" s="18"/>
    </row>
    <row r="166" spans="1:8" x14ac:dyDescent="0.3">
      <c r="A166" s="1" t="s">
        <v>15</v>
      </c>
      <c r="B166" s="1" t="s">
        <v>181</v>
      </c>
      <c r="C166" s="1">
        <v>3</v>
      </c>
      <c r="D166" s="1">
        <v>5825</v>
      </c>
      <c r="E166" s="1">
        <v>2</v>
      </c>
      <c r="H166" s="18"/>
    </row>
    <row r="167" spans="1:8" x14ac:dyDescent="0.3">
      <c r="A167" s="1" t="s">
        <v>15</v>
      </c>
      <c r="B167" s="1" t="s">
        <v>182</v>
      </c>
      <c r="C167" s="1">
        <v>7</v>
      </c>
      <c r="D167" s="1">
        <v>11476</v>
      </c>
      <c r="E167" s="1">
        <v>4</v>
      </c>
      <c r="H167" s="18"/>
    </row>
    <row r="168" spans="1:8" x14ac:dyDescent="0.3">
      <c r="A168" s="1" t="s">
        <v>15</v>
      </c>
      <c r="B168" s="1" t="s">
        <v>183</v>
      </c>
      <c r="C168" s="1">
        <v>5</v>
      </c>
      <c r="D168" s="1">
        <v>6763</v>
      </c>
      <c r="E168" s="1">
        <v>2</v>
      </c>
      <c r="H168" s="18"/>
    </row>
    <row r="169" spans="1:8" x14ac:dyDescent="0.3">
      <c r="A169" s="1" t="s">
        <v>15</v>
      </c>
      <c r="B169" s="1" t="s">
        <v>184</v>
      </c>
      <c r="C169" s="1">
        <v>6</v>
      </c>
      <c r="D169" s="1">
        <v>9983</v>
      </c>
      <c r="E169" s="1">
        <v>3</v>
      </c>
      <c r="H169" s="18"/>
    </row>
    <row r="170" spans="1:8" x14ac:dyDescent="0.3">
      <c r="A170" s="1" t="s">
        <v>15</v>
      </c>
      <c r="B170" s="1" t="s">
        <v>185</v>
      </c>
      <c r="C170" s="1">
        <v>0</v>
      </c>
      <c r="D170" s="1">
        <v>3129</v>
      </c>
      <c r="E170" s="1">
        <v>1</v>
      </c>
      <c r="H170" s="18"/>
    </row>
    <row r="171" spans="1:8" x14ac:dyDescent="0.3">
      <c r="A171" s="1" t="s">
        <v>15</v>
      </c>
      <c r="B171" s="1" t="s">
        <v>186</v>
      </c>
      <c r="C171" s="1">
        <v>2</v>
      </c>
      <c r="D171" s="1">
        <v>4496</v>
      </c>
      <c r="E171" s="1">
        <v>1</v>
      </c>
      <c r="H171" s="18"/>
    </row>
    <row r="172" spans="1:8" x14ac:dyDescent="0.3">
      <c r="A172" s="1" t="s">
        <v>15</v>
      </c>
      <c r="B172" s="1" t="s">
        <v>187</v>
      </c>
      <c r="C172" s="1">
        <v>6</v>
      </c>
      <c r="D172" s="1">
        <v>10084</v>
      </c>
      <c r="E172" s="1">
        <v>2</v>
      </c>
      <c r="H172" s="18"/>
    </row>
    <row r="173" spans="1:8" x14ac:dyDescent="0.3">
      <c r="A173" s="1" t="s">
        <v>15</v>
      </c>
      <c r="B173" s="1" t="s">
        <v>188</v>
      </c>
      <c r="C173" s="1">
        <v>5</v>
      </c>
      <c r="D173" s="1">
        <v>7525</v>
      </c>
      <c r="E173" s="1">
        <v>2</v>
      </c>
      <c r="H173" s="18"/>
    </row>
    <row r="174" spans="1:8" x14ac:dyDescent="0.3">
      <c r="A174" s="1" t="s">
        <v>15</v>
      </c>
      <c r="B174" s="1" t="s">
        <v>189</v>
      </c>
      <c r="C174" s="1">
        <v>1</v>
      </c>
      <c r="D174" s="1">
        <v>3896</v>
      </c>
      <c r="E174" s="1">
        <v>1</v>
      </c>
      <c r="H174" s="18"/>
    </row>
    <row r="175" spans="1:8" x14ac:dyDescent="0.3">
      <c r="A175" s="1" t="s">
        <v>15</v>
      </c>
      <c r="B175" s="1" t="s">
        <v>190</v>
      </c>
      <c r="C175" s="1">
        <v>2</v>
      </c>
      <c r="D175" s="1">
        <v>4337</v>
      </c>
      <c r="E175" s="1">
        <v>1</v>
      </c>
      <c r="H175" s="18"/>
    </row>
    <row r="176" spans="1:8" x14ac:dyDescent="0.3">
      <c r="A176" s="1" t="s">
        <v>15</v>
      </c>
      <c r="B176" s="1" t="s">
        <v>191</v>
      </c>
      <c r="C176" s="1">
        <v>0</v>
      </c>
      <c r="D176" s="1">
        <v>2872</v>
      </c>
      <c r="E176" s="1">
        <v>1</v>
      </c>
      <c r="H176" s="18"/>
    </row>
    <row r="177" spans="1:8" x14ac:dyDescent="0.3">
      <c r="A177" s="1" t="s">
        <v>15</v>
      </c>
      <c r="B177" s="1" t="s">
        <v>192</v>
      </c>
      <c r="C177" s="1">
        <v>5</v>
      </c>
      <c r="D177" s="1">
        <v>8577</v>
      </c>
      <c r="E177" s="1">
        <v>3</v>
      </c>
      <c r="H177" s="18"/>
    </row>
    <row r="178" spans="1:8" x14ac:dyDescent="0.3">
      <c r="A178" s="1" t="s">
        <v>15</v>
      </c>
      <c r="B178" s="1" t="s">
        <v>193</v>
      </c>
      <c r="C178" s="1">
        <v>3</v>
      </c>
      <c r="D178" s="1">
        <v>4812</v>
      </c>
      <c r="E178" s="1">
        <v>2</v>
      </c>
      <c r="H178" s="18"/>
    </row>
    <row r="179" spans="1:8" x14ac:dyDescent="0.3">
      <c r="A179" s="1" t="s">
        <v>15</v>
      </c>
      <c r="B179" s="1" t="s">
        <v>194</v>
      </c>
      <c r="C179" s="1">
        <v>4</v>
      </c>
      <c r="D179" s="1">
        <v>6978</v>
      </c>
      <c r="E179" s="1">
        <v>1</v>
      </c>
      <c r="H179" s="18"/>
    </row>
    <row r="180" spans="1:8" x14ac:dyDescent="0.3">
      <c r="A180" s="1" t="s">
        <v>15</v>
      </c>
      <c r="B180" s="1" t="s">
        <v>195</v>
      </c>
      <c r="C180" s="1">
        <v>6</v>
      </c>
      <c r="D180" s="1">
        <v>8678</v>
      </c>
      <c r="E180" s="1">
        <v>3</v>
      </c>
      <c r="H180" s="18"/>
    </row>
    <row r="181" spans="1:8" x14ac:dyDescent="0.3">
      <c r="A181" s="1" t="s">
        <v>15</v>
      </c>
      <c r="B181" s="1" t="s">
        <v>196</v>
      </c>
      <c r="C181" s="1">
        <v>5</v>
      </c>
      <c r="D181" s="1">
        <v>8308</v>
      </c>
      <c r="E181" s="1">
        <v>3</v>
      </c>
      <c r="H181" s="18"/>
    </row>
    <row r="182" spans="1:8" x14ac:dyDescent="0.3">
      <c r="A182" s="1" t="s">
        <v>15</v>
      </c>
      <c r="B182" s="1" t="s">
        <v>197</v>
      </c>
      <c r="C182" s="1">
        <v>4</v>
      </c>
      <c r="D182" s="1">
        <v>6613</v>
      </c>
      <c r="E182" s="1">
        <v>1</v>
      </c>
      <c r="H182" s="18"/>
    </row>
    <row r="183" spans="1:8" x14ac:dyDescent="0.3">
      <c r="A183" s="1" t="s">
        <v>15</v>
      </c>
      <c r="B183" s="1" t="s">
        <v>198</v>
      </c>
      <c r="C183" s="1">
        <v>3</v>
      </c>
      <c r="D183" s="1">
        <v>4814</v>
      </c>
      <c r="E183" s="1">
        <v>1</v>
      </c>
      <c r="H183" s="18"/>
    </row>
    <row r="184" spans="1:8" x14ac:dyDescent="0.3">
      <c r="A184" s="1" t="s">
        <v>15</v>
      </c>
      <c r="B184" s="1" t="s">
        <v>199</v>
      </c>
      <c r="C184" s="1">
        <v>3</v>
      </c>
      <c r="D184" s="1">
        <v>4745</v>
      </c>
      <c r="E184" s="1">
        <v>2</v>
      </c>
      <c r="H184" s="18"/>
    </row>
    <row r="185" spans="1:8" x14ac:dyDescent="0.3">
      <c r="A185" s="1" t="s">
        <v>15</v>
      </c>
      <c r="B185" s="1" t="s">
        <v>200</v>
      </c>
      <c r="C185" s="1">
        <v>2</v>
      </c>
      <c r="D185" s="1">
        <v>4138</v>
      </c>
      <c r="E185" s="1">
        <v>1</v>
      </c>
      <c r="H185" s="18"/>
    </row>
    <row r="186" spans="1:8" x14ac:dyDescent="0.3">
      <c r="A186" s="1" t="s">
        <v>15</v>
      </c>
      <c r="B186" s="1" t="s">
        <v>201</v>
      </c>
      <c r="C186" s="1">
        <v>1</v>
      </c>
      <c r="D186" s="1">
        <v>3154</v>
      </c>
      <c r="E186" s="1">
        <v>1</v>
      </c>
      <c r="H186" s="18"/>
    </row>
    <row r="187" spans="1:8" x14ac:dyDescent="0.3">
      <c r="A187" s="1" t="s">
        <v>15</v>
      </c>
      <c r="B187" s="1" t="s">
        <v>202</v>
      </c>
      <c r="C187" s="1">
        <v>6</v>
      </c>
      <c r="D187" s="1">
        <v>9514</v>
      </c>
      <c r="E187" s="1">
        <v>2</v>
      </c>
      <c r="H187" s="18"/>
    </row>
    <row r="188" spans="1:8" x14ac:dyDescent="0.3">
      <c r="A188" s="1" t="s">
        <v>15</v>
      </c>
      <c r="B188" s="1" t="s">
        <v>203</v>
      </c>
      <c r="C188" s="1">
        <v>3</v>
      </c>
      <c r="D188" s="1">
        <v>4745</v>
      </c>
      <c r="E188" s="1">
        <v>2</v>
      </c>
      <c r="H188" s="18"/>
    </row>
    <row r="189" spans="1:8" x14ac:dyDescent="0.3">
      <c r="A189" s="1" t="s">
        <v>15</v>
      </c>
      <c r="B189" s="1" t="s">
        <v>204</v>
      </c>
      <c r="C189" s="1">
        <v>1</v>
      </c>
      <c r="D189" s="1">
        <v>3590</v>
      </c>
      <c r="E189" s="1">
        <v>1</v>
      </c>
      <c r="H189" s="18"/>
    </row>
    <row r="190" spans="1:8" x14ac:dyDescent="0.3">
      <c r="A190" s="1" t="s">
        <v>15</v>
      </c>
      <c r="B190" s="1" t="s">
        <v>205</v>
      </c>
      <c r="C190" s="1">
        <v>7</v>
      </c>
      <c r="D190" s="1">
        <v>12407</v>
      </c>
      <c r="E190" s="1">
        <v>2</v>
      </c>
      <c r="H190" s="18"/>
    </row>
    <row r="191" spans="1:8" x14ac:dyDescent="0.3">
      <c r="A191" s="1" t="s">
        <v>15</v>
      </c>
      <c r="B191" s="1" t="s">
        <v>206</v>
      </c>
      <c r="C191" s="1">
        <v>4</v>
      </c>
      <c r="D191" s="1">
        <v>5619</v>
      </c>
      <c r="E191" s="1">
        <v>2</v>
      </c>
      <c r="H191" s="18"/>
    </row>
    <row r="192" spans="1:8" x14ac:dyDescent="0.3">
      <c r="A192" s="1" t="s">
        <v>15</v>
      </c>
      <c r="B192" s="1" t="s">
        <v>207</v>
      </c>
      <c r="C192" s="1">
        <v>1</v>
      </c>
      <c r="D192" s="1">
        <v>3267</v>
      </c>
      <c r="E192" s="1">
        <v>1</v>
      </c>
      <c r="H192" s="18"/>
    </row>
    <row r="193" spans="1:8" x14ac:dyDescent="0.3">
      <c r="A193" s="1" t="s">
        <v>15</v>
      </c>
      <c r="B193" s="1" t="s">
        <v>208</v>
      </c>
      <c r="C193" s="1">
        <v>5</v>
      </c>
      <c r="D193" s="1">
        <v>6634</v>
      </c>
      <c r="E193" s="1">
        <v>3</v>
      </c>
      <c r="H193" s="18"/>
    </row>
    <row r="194" spans="1:8" x14ac:dyDescent="0.3">
      <c r="A194" s="1" t="s">
        <v>15</v>
      </c>
      <c r="B194" s="1" t="s">
        <v>209</v>
      </c>
      <c r="C194" s="1">
        <v>4</v>
      </c>
      <c r="D194" s="1">
        <v>5857</v>
      </c>
      <c r="E194" s="1">
        <v>1</v>
      </c>
      <c r="H194" s="18"/>
    </row>
    <row r="195" spans="1:8" x14ac:dyDescent="0.3">
      <c r="A195" s="1" t="s">
        <v>15</v>
      </c>
      <c r="B195" s="1" t="s">
        <v>210</v>
      </c>
      <c r="C195" s="1">
        <v>2</v>
      </c>
      <c r="D195" s="1">
        <v>4510</v>
      </c>
      <c r="E195" s="1">
        <v>1</v>
      </c>
      <c r="H195" s="18"/>
    </row>
    <row r="196" spans="1:8" x14ac:dyDescent="0.3">
      <c r="A196" s="1" t="s">
        <v>15</v>
      </c>
      <c r="B196" s="1" t="s">
        <v>211</v>
      </c>
      <c r="C196" s="1">
        <v>0</v>
      </c>
      <c r="D196" s="1">
        <v>2881</v>
      </c>
      <c r="E196" s="1">
        <v>1</v>
      </c>
      <c r="H196" s="18"/>
    </row>
    <row r="197" spans="1:8" x14ac:dyDescent="0.3">
      <c r="A197" s="1" t="s">
        <v>15</v>
      </c>
      <c r="B197" s="1" t="s">
        <v>212</v>
      </c>
      <c r="C197" s="1">
        <v>5</v>
      </c>
      <c r="D197" s="1">
        <v>7012</v>
      </c>
      <c r="E197" s="1">
        <v>1</v>
      </c>
      <c r="H197" s="18"/>
    </row>
    <row r="198" spans="1:8" x14ac:dyDescent="0.3">
      <c r="A198" s="1" t="s">
        <v>15</v>
      </c>
      <c r="B198" s="1" t="s">
        <v>213</v>
      </c>
      <c r="C198" s="1">
        <v>3</v>
      </c>
      <c r="D198" s="1">
        <v>5320</v>
      </c>
      <c r="E198" s="1">
        <v>1</v>
      </c>
      <c r="H198" s="18"/>
    </row>
    <row r="199" spans="1:8" x14ac:dyDescent="0.3">
      <c r="A199" s="1" t="s">
        <v>15</v>
      </c>
      <c r="B199" s="1" t="s">
        <v>214</v>
      </c>
      <c r="C199" s="1">
        <v>0</v>
      </c>
      <c r="D199" s="1">
        <v>2495</v>
      </c>
      <c r="E199" s="1">
        <v>1</v>
      </c>
      <c r="H199" s="18"/>
    </row>
    <row r="200" spans="1:8" x14ac:dyDescent="0.3">
      <c r="A200" s="1" t="s">
        <v>15</v>
      </c>
      <c r="B200" s="1" t="s">
        <v>215</v>
      </c>
      <c r="C200" s="1">
        <v>4</v>
      </c>
      <c r="D200" s="1">
        <v>5679</v>
      </c>
      <c r="E200" s="1">
        <v>1</v>
      </c>
      <c r="H200" s="18"/>
    </row>
    <row r="201" spans="1:8" x14ac:dyDescent="0.3">
      <c r="A201" s="1" t="s">
        <v>15</v>
      </c>
      <c r="B201" s="1" t="s">
        <v>216</v>
      </c>
      <c r="C201" s="1">
        <v>8</v>
      </c>
      <c r="D201" s="1">
        <v>14259</v>
      </c>
      <c r="E201" s="1">
        <v>3</v>
      </c>
      <c r="H201" s="18"/>
    </row>
    <row r="202" spans="1:8" x14ac:dyDescent="0.3">
      <c r="A202" s="1" t="s">
        <v>15</v>
      </c>
      <c r="B202" s="1" t="s">
        <v>217</v>
      </c>
      <c r="C202" s="1">
        <v>6</v>
      </c>
      <c r="D202" s="1">
        <v>10081</v>
      </c>
      <c r="E202" s="1">
        <v>2</v>
      </c>
      <c r="H202" s="18"/>
    </row>
    <row r="203" spans="1:8" x14ac:dyDescent="0.3">
      <c r="A203" s="1" t="s">
        <v>15</v>
      </c>
      <c r="B203" s="1" t="s">
        <v>218</v>
      </c>
      <c r="C203" s="1">
        <v>3</v>
      </c>
      <c r="D203" s="1">
        <v>5032</v>
      </c>
      <c r="E203" s="1">
        <v>1</v>
      </c>
      <c r="H203" s="18"/>
    </row>
    <row r="204" spans="1:8" x14ac:dyDescent="0.3">
      <c r="A204" s="1" t="s">
        <v>15</v>
      </c>
      <c r="B204" s="1" t="s">
        <v>219</v>
      </c>
      <c r="C204" s="1">
        <v>5</v>
      </c>
      <c r="D204" s="1">
        <v>8426</v>
      </c>
      <c r="E204" s="1">
        <v>3</v>
      </c>
      <c r="H204" s="18"/>
    </row>
    <row r="205" spans="1:8" x14ac:dyDescent="0.3">
      <c r="A205" s="1" t="s">
        <v>15</v>
      </c>
      <c r="B205" s="1" t="s">
        <v>220</v>
      </c>
      <c r="C205" s="1">
        <v>5</v>
      </c>
      <c r="D205" s="1">
        <v>7478</v>
      </c>
      <c r="E205" s="1">
        <v>3</v>
      </c>
      <c r="H205" s="18"/>
    </row>
    <row r="206" spans="1:8" x14ac:dyDescent="0.3">
      <c r="A206" s="1" t="s">
        <v>15</v>
      </c>
      <c r="B206" s="1" t="s">
        <v>221</v>
      </c>
      <c r="C206" s="1">
        <v>7</v>
      </c>
      <c r="D206" s="1">
        <v>11719</v>
      </c>
      <c r="E206" s="1">
        <v>2</v>
      </c>
      <c r="H206" s="18"/>
    </row>
    <row r="207" spans="1:8" x14ac:dyDescent="0.3">
      <c r="A207" s="1" t="s">
        <v>15</v>
      </c>
      <c r="B207" s="1" t="s">
        <v>222</v>
      </c>
      <c r="C207" s="1">
        <v>4</v>
      </c>
      <c r="D207" s="1">
        <v>5940</v>
      </c>
      <c r="E207" s="1">
        <v>2</v>
      </c>
      <c r="H207" s="18"/>
    </row>
    <row r="208" spans="1:8" x14ac:dyDescent="0.3">
      <c r="A208" s="1" t="s">
        <v>15</v>
      </c>
      <c r="B208" s="1" t="s">
        <v>223</v>
      </c>
      <c r="C208" s="1">
        <v>4</v>
      </c>
      <c r="D208" s="1">
        <v>6171</v>
      </c>
      <c r="E208" s="1">
        <v>1</v>
      </c>
      <c r="H208" s="18"/>
    </row>
    <row r="209" spans="1:8" x14ac:dyDescent="0.3">
      <c r="A209" s="1" t="s">
        <v>15</v>
      </c>
      <c r="B209" s="1" t="s">
        <v>224</v>
      </c>
      <c r="C209" s="1">
        <v>6</v>
      </c>
      <c r="D209" s="1">
        <v>10766</v>
      </c>
      <c r="E209" s="1">
        <v>2</v>
      </c>
      <c r="H209" s="18"/>
    </row>
    <row r="210" spans="1:8" x14ac:dyDescent="0.3">
      <c r="A210" s="1" t="s">
        <v>15</v>
      </c>
      <c r="B210" s="1" t="s">
        <v>225</v>
      </c>
      <c r="C210" s="1">
        <v>0</v>
      </c>
      <c r="D210" s="1">
        <v>3218</v>
      </c>
      <c r="E210" s="1">
        <v>1</v>
      </c>
      <c r="H210" s="18"/>
    </row>
    <row r="211" spans="1:8" x14ac:dyDescent="0.3">
      <c r="A211" s="1" t="s">
        <v>15</v>
      </c>
      <c r="B211" s="1" t="s">
        <v>226</v>
      </c>
      <c r="C211" s="1">
        <v>4</v>
      </c>
      <c r="D211" s="1">
        <v>6301</v>
      </c>
      <c r="E211" s="1">
        <v>2</v>
      </c>
      <c r="H211" s="18"/>
    </row>
    <row r="212" spans="1:8" x14ac:dyDescent="0.3">
      <c r="A212" s="1" t="s">
        <v>15</v>
      </c>
      <c r="B212" s="1" t="s">
        <v>227</v>
      </c>
      <c r="C212" s="1">
        <v>4</v>
      </c>
      <c r="D212" s="1">
        <v>6345</v>
      </c>
      <c r="E212" s="1">
        <v>1</v>
      </c>
      <c r="H212" s="18"/>
    </row>
    <row r="213" spans="1:8" x14ac:dyDescent="0.3">
      <c r="A213" s="1" t="s">
        <v>15</v>
      </c>
      <c r="B213" s="1" t="s">
        <v>228</v>
      </c>
      <c r="C213" s="1">
        <v>3</v>
      </c>
      <c r="D213" s="1">
        <v>5512</v>
      </c>
      <c r="E213" s="1">
        <v>1</v>
      </c>
      <c r="H213" s="18"/>
    </row>
    <row r="214" spans="1:8" x14ac:dyDescent="0.3">
      <c r="A214" s="1" t="s">
        <v>15</v>
      </c>
      <c r="B214" s="1" t="s">
        <v>229</v>
      </c>
      <c r="C214" s="1">
        <v>4</v>
      </c>
      <c r="D214" s="1">
        <v>6943</v>
      </c>
      <c r="E214" s="1">
        <v>1</v>
      </c>
      <c r="H214" s="18"/>
    </row>
    <row r="215" spans="1:8" x14ac:dyDescent="0.3">
      <c r="A215" s="1" t="s">
        <v>15</v>
      </c>
      <c r="B215" s="1" t="s">
        <v>230</v>
      </c>
      <c r="C215" s="1">
        <v>5</v>
      </c>
      <c r="D215" s="1">
        <v>6733</v>
      </c>
      <c r="E215" s="1">
        <v>2</v>
      </c>
      <c r="H215" s="18"/>
    </row>
    <row r="216" spans="1:8" x14ac:dyDescent="0.3">
      <c r="A216" s="1" t="s">
        <v>15</v>
      </c>
      <c r="B216" s="1" t="s">
        <v>231</v>
      </c>
      <c r="C216" s="1">
        <v>7</v>
      </c>
      <c r="D216" s="1">
        <v>11851</v>
      </c>
      <c r="E216" s="1">
        <v>2</v>
      </c>
      <c r="H216" s="18"/>
    </row>
    <row r="217" spans="1:8" x14ac:dyDescent="0.3">
      <c r="A217" s="1" t="s">
        <v>15</v>
      </c>
      <c r="B217" s="1" t="s">
        <v>232</v>
      </c>
      <c r="C217" s="1">
        <v>4</v>
      </c>
      <c r="D217" s="1">
        <v>5415</v>
      </c>
      <c r="E217" s="1">
        <v>1</v>
      </c>
      <c r="H217" s="18"/>
    </row>
    <row r="218" spans="1:8" x14ac:dyDescent="0.3">
      <c r="A218" s="1" t="s">
        <v>15</v>
      </c>
      <c r="B218" s="1" t="s">
        <v>233</v>
      </c>
      <c r="C218" s="1">
        <v>7</v>
      </c>
      <c r="D218" s="1">
        <v>12576</v>
      </c>
      <c r="E218" s="1">
        <v>4</v>
      </c>
      <c r="H218" s="18"/>
    </row>
    <row r="219" spans="1:8" x14ac:dyDescent="0.3">
      <c r="A219" s="1" t="s">
        <v>15</v>
      </c>
      <c r="B219" s="1" t="s">
        <v>234</v>
      </c>
      <c r="C219" s="1">
        <v>2</v>
      </c>
      <c r="D219" s="1">
        <v>4660</v>
      </c>
      <c r="E219" s="1">
        <v>1</v>
      </c>
      <c r="H219" s="18"/>
    </row>
    <row r="220" spans="1:8" x14ac:dyDescent="0.3">
      <c r="A220" s="1" t="s">
        <v>15</v>
      </c>
      <c r="B220" s="1" t="s">
        <v>235</v>
      </c>
      <c r="C220" s="1">
        <v>6</v>
      </c>
      <c r="D220" s="1">
        <v>8227</v>
      </c>
      <c r="E220" s="1">
        <v>2</v>
      </c>
      <c r="H220" s="18"/>
    </row>
    <row r="221" spans="1:8" x14ac:dyDescent="0.3">
      <c r="A221" s="1" t="s">
        <v>15</v>
      </c>
      <c r="B221" s="1" t="s">
        <v>236</v>
      </c>
      <c r="C221" s="1">
        <v>2</v>
      </c>
      <c r="D221" s="1">
        <v>4223</v>
      </c>
      <c r="E221" s="1">
        <v>1</v>
      </c>
      <c r="H221" s="18"/>
    </row>
    <row r="222" spans="1:8" x14ac:dyDescent="0.3">
      <c r="A222" s="1" t="s">
        <v>15</v>
      </c>
      <c r="B222" s="1" t="s">
        <v>237</v>
      </c>
      <c r="C222" s="1">
        <v>4</v>
      </c>
      <c r="D222" s="1">
        <v>6801</v>
      </c>
      <c r="E222" s="1">
        <v>1</v>
      </c>
      <c r="H222" s="18"/>
    </row>
    <row r="223" spans="1:8" x14ac:dyDescent="0.3">
      <c r="A223" s="1" t="s">
        <v>15</v>
      </c>
      <c r="B223" s="1" t="s">
        <v>238</v>
      </c>
      <c r="C223" s="1">
        <v>7</v>
      </c>
      <c r="D223" s="1">
        <v>12018</v>
      </c>
      <c r="E223" s="1">
        <v>4</v>
      </c>
      <c r="H223" s="18"/>
    </row>
    <row r="224" spans="1:8" x14ac:dyDescent="0.3">
      <c r="A224" s="1" t="s">
        <v>15</v>
      </c>
      <c r="B224" s="1" t="s">
        <v>239</v>
      </c>
      <c r="C224" s="1">
        <v>0</v>
      </c>
      <c r="D224" s="1">
        <v>2695</v>
      </c>
      <c r="E224" s="1">
        <v>1</v>
      </c>
      <c r="H224" s="18"/>
    </row>
    <row r="225" spans="1:8" x14ac:dyDescent="0.3">
      <c r="A225" s="1" t="s">
        <v>15</v>
      </c>
      <c r="B225" s="1" t="s">
        <v>240</v>
      </c>
      <c r="C225" s="1">
        <v>0</v>
      </c>
      <c r="D225" s="1">
        <v>3255</v>
      </c>
      <c r="E225" s="1">
        <v>1</v>
      </c>
      <c r="H225" s="18"/>
    </row>
    <row r="226" spans="1:8" x14ac:dyDescent="0.3">
      <c r="A226" s="1" t="s">
        <v>15</v>
      </c>
      <c r="B226" s="1" t="s">
        <v>241</v>
      </c>
      <c r="C226" s="1">
        <v>0</v>
      </c>
      <c r="D226" s="1">
        <v>2927</v>
      </c>
      <c r="E226" s="1">
        <v>1</v>
      </c>
      <c r="H226" s="18"/>
    </row>
    <row r="227" spans="1:8" x14ac:dyDescent="0.3">
      <c r="A227" s="1" t="s">
        <v>15</v>
      </c>
      <c r="B227" s="1" t="s">
        <v>242</v>
      </c>
      <c r="C227" s="1">
        <v>5</v>
      </c>
      <c r="D227" s="1">
        <v>6634</v>
      </c>
      <c r="E227" s="1">
        <v>1</v>
      </c>
      <c r="H227" s="18"/>
    </row>
    <row r="228" spans="1:8" x14ac:dyDescent="0.3">
      <c r="A228" s="1" t="s">
        <v>15</v>
      </c>
      <c r="B228" s="1" t="s">
        <v>243</v>
      </c>
      <c r="C228" s="1">
        <v>0</v>
      </c>
      <c r="D228" s="1">
        <v>3252</v>
      </c>
      <c r="E228" s="1">
        <v>1</v>
      </c>
      <c r="H228" s="18"/>
    </row>
    <row r="229" spans="1:8" x14ac:dyDescent="0.3">
      <c r="A229" s="1" t="s">
        <v>15</v>
      </c>
      <c r="B229" s="1" t="s">
        <v>244</v>
      </c>
      <c r="C229" s="1">
        <v>4</v>
      </c>
      <c r="D229" s="1">
        <v>5909</v>
      </c>
      <c r="E229" s="1">
        <v>2</v>
      </c>
      <c r="H229" s="18"/>
    </row>
    <row r="230" spans="1:8" x14ac:dyDescent="0.3">
      <c r="A230" s="1" t="s">
        <v>15</v>
      </c>
      <c r="B230" s="1" t="s">
        <v>245</v>
      </c>
      <c r="C230" s="1">
        <v>5</v>
      </c>
      <c r="D230" s="1">
        <v>8168</v>
      </c>
      <c r="E230" s="1">
        <v>2</v>
      </c>
      <c r="H230" s="18"/>
    </row>
    <row r="231" spans="1:8" x14ac:dyDescent="0.3">
      <c r="A231" s="1" t="s">
        <v>15</v>
      </c>
      <c r="B231" s="1" t="s">
        <v>246</v>
      </c>
      <c r="C231" s="1">
        <v>4</v>
      </c>
      <c r="D231" s="1">
        <v>6358</v>
      </c>
      <c r="E231" s="1">
        <v>1</v>
      </c>
      <c r="H231" s="18"/>
    </row>
    <row r="232" spans="1:8" x14ac:dyDescent="0.3">
      <c r="A232" s="1" t="s">
        <v>15</v>
      </c>
      <c r="B232" s="1" t="s">
        <v>247</v>
      </c>
      <c r="C232" s="1">
        <v>3</v>
      </c>
      <c r="D232" s="1">
        <v>5939</v>
      </c>
      <c r="E232" s="1">
        <v>1</v>
      </c>
      <c r="H232" s="18"/>
    </row>
    <row r="233" spans="1:8" x14ac:dyDescent="0.3">
      <c r="A233" s="1" t="s">
        <v>15</v>
      </c>
      <c r="B233" s="1" t="s">
        <v>248</v>
      </c>
      <c r="C233" s="1">
        <v>7</v>
      </c>
      <c r="D233" s="1">
        <v>12636</v>
      </c>
      <c r="E233" s="1">
        <v>4</v>
      </c>
      <c r="H233" s="18"/>
    </row>
    <row r="234" spans="1:8" x14ac:dyDescent="0.3">
      <c r="A234" s="1" t="s">
        <v>15</v>
      </c>
      <c r="B234" s="1" t="s">
        <v>249</v>
      </c>
      <c r="C234" s="1">
        <v>0</v>
      </c>
      <c r="D234" s="1">
        <v>3122</v>
      </c>
      <c r="E234" s="1">
        <v>1</v>
      </c>
      <c r="H234" s="18"/>
    </row>
    <row r="235" spans="1:8" x14ac:dyDescent="0.3">
      <c r="A235" s="1" t="s">
        <v>15</v>
      </c>
      <c r="B235" s="1" t="s">
        <v>250</v>
      </c>
      <c r="C235" s="1">
        <v>5</v>
      </c>
      <c r="D235" s="1">
        <v>7242</v>
      </c>
      <c r="E235" s="1">
        <v>3</v>
      </c>
      <c r="H235" s="18"/>
    </row>
    <row r="236" spans="1:8" x14ac:dyDescent="0.3">
      <c r="A236" s="1" t="s">
        <v>15</v>
      </c>
      <c r="B236" s="1" t="s">
        <v>251</v>
      </c>
      <c r="C236" s="1">
        <v>5</v>
      </c>
      <c r="D236" s="1">
        <v>8738</v>
      </c>
      <c r="E236" s="1">
        <v>3</v>
      </c>
      <c r="H236" s="18"/>
    </row>
    <row r="237" spans="1:8" x14ac:dyDescent="0.3">
      <c r="A237" s="1" t="s">
        <v>15</v>
      </c>
      <c r="B237" s="1" t="s">
        <v>252</v>
      </c>
      <c r="C237" s="1">
        <v>7</v>
      </c>
      <c r="D237" s="1">
        <v>9906</v>
      </c>
      <c r="E237" s="1">
        <v>2</v>
      </c>
      <c r="H237" s="18"/>
    </row>
    <row r="238" spans="1:8" x14ac:dyDescent="0.3">
      <c r="A238" s="1" t="s">
        <v>15</v>
      </c>
      <c r="B238" s="1" t="s">
        <v>253</v>
      </c>
      <c r="C238" s="1">
        <v>4</v>
      </c>
      <c r="D238" s="1">
        <v>6636</v>
      </c>
      <c r="E238" s="1">
        <v>2</v>
      </c>
      <c r="H238" s="18"/>
    </row>
    <row r="239" spans="1:8" x14ac:dyDescent="0.3">
      <c r="A239" s="1" t="s">
        <v>15</v>
      </c>
      <c r="B239" s="1" t="s">
        <v>254</v>
      </c>
      <c r="C239" s="1">
        <v>5</v>
      </c>
      <c r="D239" s="1">
        <v>7386</v>
      </c>
      <c r="E239" s="1">
        <v>2</v>
      </c>
      <c r="H239" s="18"/>
    </row>
    <row r="240" spans="1:8" x14ac:dyDescent="0.3">
      <c r="A240" s="1" t="s">
        <v>15</v>
      </c>
      <c r="B240" s="1" t="s">
        <v>255</v>
      </c>
      <c r="C240" s="1">
        <v>2</v>
      </c>
      <c r="D240" s="1">
        <v>4685</v>
      </c>
      <c r="E240" s="1">
        <v>1</v>
      </c>
      <c r="H240" s="18"/>
    </row>
    <row r="241" spans="1:8" x14ac:dyDescent="0.3">
      <c r="A241" s="1" t="s">
        <v>15</v>
      </c>
      <c r="B241" s="1" t="s">
        <v>256</v>
      </c>
      <c r="C241" s="1">
        <v>2</v>
      </c>
      <c r="D241" s="1">
        <v>3718</v>
      </c>
      <c r="E241" s="1">
        <v>1</v>
      </c>
      <c r="H241" s="18"/>
    </row>
    <row r="242" spans="1:8" x14ac:dyDescent="0.3">
      <c r="A242" s="1" t="s">
        <v>15</v>
      </c>
      <c r="B242" s="1" t="s">
        <v>257</v>
      </c>
      <c r="C242" s="1">
        <v>4</v>
      </c>
      <c r="D242" s="1">
        <v>6702</v>
      </c>
      <c r="E242" s="1">
        <v>1</v>
      </c>
      <c r="H242" s="18"/>
    </row>
    <row r="243" spans="1:8" x14ac:dyDescent="0.3">
      <c r="A243" s="1" t="s">
        <v>15</v>
      </c>
      <c r="B243" s="1" t="s">
        <v>258</v>
      </c>
      <c r="C243" s="1">
        <v>5</v>
      </c>
      <c r="D243" s="1">
        <v>8116</v>
      </c>
      <c r="E243" s="1">
        <v>1</v>
      </c>
      <c r="H243" s="18"/>
    </row>
    <row r="244" spans="1:8" x14ac:dyDescent="0.3">
      <c r="A244" s="1" t="s">
        <v>15</v>
      </c>
      <c r="B244" s="1" t="s">
        <v>259</v>
      </c>
      <c r="C244" s="1">
        <v>6</v>
      </c>
      <c r="D244" s="1">
        <v>8085</v>
      </c>
      <c r="E244" s="1">
        <v>2</v>
      </c>
      <c r="H244" s="18"/>
    </row>
    <row r="245" spans="1:8" x14ac:dyDescent="0.3">
      <c r="A245" s="1" t="s">
        <v>15</v>
      </c>
      <c r="B245" s="1" t="s">
        <v>260</v>
      </c>
      <c r="C245" s="1">
        <v>6</v>
      </c>
      <c r="D245" s="1">
        <v>10794</v>
      </c>
      <c r="E245" s="1">
        <v>2</v>
      </c>
      <c r="H245" s="18"/>
    </row>
    <row r="246" spans="1:8" x14ac:dyDescent="0.3">
      <c r="A246" s="1" t="s">
        <v>15</v>
      </c>
      <c r="B246" s="1" t="s">
        <v>261</v>
      </c>
      <c r="C246" s="1">
        <v>7</v>
      </c>
      <c r="D246" s="1">
        <v>10868</v>
      </c>
      <c r="E246" s="1">
        <v>2</v>
      </c>
      <c r="H246" s="18"/>
    </row>
    <row r="247" spans="1:8" x14ac:dyDescent="0.3">
      <c r="A247" s="1" t="s">
        <v>15</v>
      </c>
      <c r="B247" s="1" t="s">
        <v>262</v>
      </c>
      <c r="C247" s="1">
        <v>7</v>
      </c>
      <c r="D247" s="1">
        <v>10646</v>
      </c>
      <c r="E247" s="1">
        <v>2</v>
      </c>
      <c r="H247" s="18"/>
    </row>
    <row r="248" spans="1:8" x14ac:dyDescent="0.3">
      <c r="A248" s="1" t="s">
        <v>15</v>
      </c>
      <c r="B248" s="1" t="s">
        <v>263</v>
      </c>
      <c r="C248" s="1">
        <v>1</v>
      </c>
      <c r="D248" s="1">
        <v>3317</v>
      </c>
      <c r="E248" s="1">
        <v>1</v>
      </c>
      <c r="H248" s="18"/>
    </row>
    <row r="249" spans="1:8" x14ac:dyDescent="0.3">
      <c r="A249" s="1" t="s">
        <v>15</v>
      </c>
      <c r="B249" s="1" t="s">
        <v>264</v>
      </c>
      <c r="C249" s="1">
        <v>1</v>
      </c>
      <c r="D249" s="1">
        <v>3480</v>
      </c>
      <c r="E249" s="1">
        <v>1</v>
      </c>
      <c r="H249" s="18"/>
    </row>
    <row r="250" spans="1:8" x14ac:dyDescent="0.3">
      <c r="A250" s="1" t="s">
        <v>15</v>
      </c>
      <c r="B250" s="1" t="s">
        <v>265</v>
      </c>
      <c r="C250" s="1">
        <v>3</v>
      </c>
      <c r="D250" s="1">
        <v>5347</v>
      </c>
      <c r="E250" s="1">
        <v>1</v>
      </c>
      <c r="H250" s="18"/>
    </row>
    <row r="251" spans="1:8" x14ac:dyDescent="0.3">
      <c r="A251" s="1" t="s">
        <v>15</v>
      </c>
      <c r="B251" s="1" t="s">
        <v>266</v>
      </c>
      <c r="C251" s="1">
        <v>5</v>
      </c>
      <c r="D251" s="1">
        <v>8042</v>
      </c>
      <c r="E251" s="1">
        <v>2</v>
      </c>
      <c r="H251" s="18"/>
    </row>
    <row r="252" spans="1:8" x14ac:dyDescent="0.3">
      <c r="A252" s="1" t="s">
        <v>15</v>
      </c>
      <c r="B252" s="1" t="s">
        <v>267</v>
      </c>
      <c r="C252" s="1">
        <v>0</v>
      </c>
      <c r="D252" s="1">
        <v>2478</v>
      </c>
      <c r="E252" s="1">
        <v>1</v>
      </c>
      <c r="H252" s="18"/>
    </row>
    <row r="253" spans="1:8" x14ac:dyDescent="0.3">
      <c r="A253" s="1" t="s">
        <v>15</v>
      </c>
      <c r="B253" s="1" t="s">
        <v>268</v>
      </c>
      <c r="C253" s="1">
        <v>8</v>
      </c>
      <c r="D253" s="1">
        <v>14382</v>
      </c>
      <c r="E253" s="1">
        <v>3</v>
      </c>
      <c r="H253" s="18"/>
    </row>
    <row r="254" spans="1:8" x14ac:dyDescent="0.3">
      <c r="A254" s="1" t="s">
        <v>15</v>
      </c>
      <c r="B254" s="1" t="s">
        <v>269</v>
      </c>
      <c r="C254" s="1">
        <v>5</v>
      </c>
      <c r="D254" s="1">
        <v>6855</v>
      </c>
      <c r="E254" s="1">
        <v>2</v>
      </c>
      <c r="H254" s="18"/>
    </row>
    <row r="255" spans="1:8" x14ac:dyDescent="0.3">
      <c r="A255" s="1" t="s">
        <v>15</v>
      </c>
      <c r="B255" s="1" t="s">
        <v>270</v>
      </c>
      <c r="C255" s="1">
        <v>4</v>
      </c>
      <c r="D255" s="1">
        <v>6384</v>
      </c>
      <c r="E255" s="1">
        <v>2</v>
      </c>
      <c r="H255" s="18"/>
    </row>
    <row r="256" spans="1:8" x14ac:dyDescent="0.3">
      <c r="A256" s="1" t="s">
        <v>15</v>
      </c>
      <c r="B256" s="1" t="s">
        <v>271</v>
      </c>
      <c r="C256" s="1">
        <v>3</v>
      </c>
      <c r="D256" s="1">
        <v>4579</v>
      </c>
      <c r="E256" s="1">
        <v>1</v>
      </c>
      <c r="H256" s="18"/>
    </row>
    <row r="257" spans="1:8" x14ac:dyDescent="0.3">
      <c r="A257" s="1" t="s">
        <v>15</v>
      </c>
      <c r="B257" s="1" t="s">
        <v>272</v>
      </c>
      <c r="C257" s="1">
        <v>5</v>
      </c>
      <c r="D257" s="1">
        <v>6834</v>
      </c>
      <c r="E257" s="1">
        <v>3</v>
      </c>
      <c r="H257" s="18"/>
    </row>
    <row r="258" spans="1:8" x14ac:dyDescent="0.3">
      <c r="A258" s="1" t="s">
        <v>15</v>
      </c>
      <c r="B258" s="1" t="s">
        <v>273</v>
      </c>
      <c r="C258" s="1">
        <v>1</v>
      </c>
      <c r="D258" s="1">
        <v>3357</v>
      </c>
      <c r="E258" s="1">
        <v>1</v>
      </c>
      <c r="H258" s="18"/>
    </row>
    <row r="259" spans="1:8" x14ac:dyDescent="0.3">
      <c r="A259" s="1" t="s">
        <v>15</v>
      </c>
      <c r="B259" s="1" t="s">
        <v>274</v>
      </c>
      <c r="C259" s="1">
        <v>4</v>
      </c>
      <c r="D259" s="1">
        <v>6158</v>
      </c>
      <c r="E259" s="1">
        <v>1</v>
      </c>
      <c r="H259" s="18"/>
    </row>
    <row r="260" spans="1:8" x14ac:dyDescent="0.3">
      <c r="A260" s="1" t="s">
        <v>15</v>
      </c>
      <c r="B260" s="1" t="s">
        <v>275</v>
      </c>
      <c r="C260" s="1">
        <v>5</v>
      </c>
      <c r="D260" s="1">
        <v>7259</v>
      </c>
      <c r="E260" s="1">
        <v>2</v>
      </c>
      <c r="H260" s="18"/>
    </row>
    <row r="261" spans="1:8" x14ac:dyDescent="0.3">
      <c r="A261" s="1" t="s">
        <v>15</v>
      </c>
      <c r="B261" s="1" t="s">
        <v>276</v>
      </c>
      <c r="C261" s="1">
        <v>5</v>
      </c>
      <c r="D261" s="1">
        <v>8098</v>
      </c>
      <c r="E261" s="1">
        <v>1</v>
      </c>
      <c r="H261" s="18"/>
    </row>
    <row r="262" spans="1:8" x14ac:dyDescent="0.3">
      <c r="A262" s="1" t="s">
        <v>15</v>
      </c>
      <c r="B262" s="1" t="s">
        <v>277</v>
      </c>
      <c r="C262" s="1">
        <v>1</v>
      </c>
      <c r="D262" s="1">
        <v>3884</v>
      </c>
      <c r="E262" s="1">
        <v>1</v>
      </c>
      <c r="H262" s="18"/>
    </row>
    <row r="263" spans="1:8" x14ac:dyDescent="0.3">
      <c r="A263" s="1" t="s">
        <v>15</v>
      </c>
      <c r="B263" s="1" t="s">
        <v>278</v>
      </c>
      <c r="C263" s="1">
        <v>2</v>
      </c>
      <c r="D263" s="1">
        <v>3991</v>
      </c>
      <c r="E263" s="1">
        <v>1</v>
      </c>
      <c r="H263" s="18"/>
    </row>
    <row r="264" spans="1:8" x14ac:dyDescent="0.3">
      <c r="A264" s="1" t="s">
        <v>15</v>
      </c>
      <c r="B264" s="1" t="s">
        <v>279</v>
      </c>
      <c r="C264" s="1">
        <v>8</v>
      </c>
      <c r="D264" s="1">
        <v>12564</v>
      </c>
      <c r="E264" s="1">
        <v>4</v>
      </c>
      <c r="H264" s="18"/>
    </row>
    <row r="265" spans="1:8" x14ac:dyDescent="0.3">
      <c r="A265" s="1" t="s">
        <v>15</v>
      </c>
      <c r="B265" s="1" t="s">
        <v>280</v>
      </c>
      <c r="C265" s="1">
        <v>3</v>
      </c>
      <c r="D265" s="1">
        <v>4537</v>
      </c>
      <c r="E265" s="1">
        <v>1</v>
      </c>
      <c r="H265" s="18"/>
    </row>
    <row r="266" spans="1:8" x14ac:dyDescent="0.3">
      <c r="A266" s="1" t="s">
        <v>15</v>
      </c>
      <c r="B266" s="1" t="s">
        <v>281</v>
      </c>
      <c r="C266" s="1">
        <v>0</v>
      </c>
      <c r="D266" s="1">
        <v>3234</v>
      </c>
      <c r="E266" s="1">
        <v>1</v>
      </c>
      <c r="H266" s="1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Modelo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Faria Richter</dc:creator>
  <cp:lastModifiedBy>Raphael Faria Richter</cp:lastModifiedBy>
  <dcterms:created xsi:type="dcterms:W3CDTF">2021-07-22T16:31:15Z</dcterms:created>
  <dcterms:modified xsi:type="dcterms:W3CDTF">2021-09-18T14:39:50Z</dcterms:modified>
</cp:coreProperties>
</file>